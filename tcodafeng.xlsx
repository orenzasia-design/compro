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 Syofyan\OneDrive\Dokumen\001. on working\3. BST\"/>
    </mc:Choice>
  </mc:AlternateContent>
  <xr:revisionPtr revIDLastSave="0" documentId="8_{03EC2348-3865-4562-9D5C-2D26E8C71385}" xr6:coauthVersionLast="47" xr6:coauthVersionMax="47" xr10:uidLastSave="{00000000-0000-0000-0000-000000000000}"/>
  <bookViews>
    <workbookView xWindow="-108" yWindow="-108" windowWidth="23256" windowHeight="12456" xr2:uid="{5BDA299F-2C44-4A2D-BD80-FF76C44D9E57}"/>
  </bookViews>
  <sheets>
    <sheet name="TCO TRAKTOR &amp; R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  <c r="E138" i="1"/>
  <c r="D138" i="1"/>
  <c r="D137" i="1"/>
  <c r="E136" i="1"/>
  <c r="D136" i="1"/>
  <c r="D135" i="1"/>
  <c r="E134" i="1"/>
  <c r="D134" i="1"/>
  <c r="D133" i="1"/>
  <c r="E132" i="1"/>
  <c r="D132" i="1"/>
  <c r="D131" i="1"/>
  <c r="E130" i="1"/>
  <c r="D130" i="1"/>
  <c r="D129" i="1"/>
  <c r="E128" i="1"/>
  <c r="D128" i="1"/>
  <c r="D127" i="1"/>
  <c r="E126" i="1"/>
  <c r="D126" i="1"/>
  <c r="D125" i="1"/>
  <c r="E124" i="1"/>
  <c r="D124" i="1"/>
  <c r="D123" i="1"/>
  <c r="E122" i="1"/>
  <c r="D122" i="1"/>
  <c r="D121" i="1"/>
  <c r="E120" i="1"/>
  <c r="D120" i="1"/>
  <c r="D119" i="1"/>
  <c r="E118" i="1"/>
  <c r="D118" i="1"/>
  <c r="D117" i="1"/>
  <c r="E116" i="1"/>
  <c r="D116" i="1"/>
  <c r="D115" i="1"/>
  <c r="E114" i="1"/>
  <c r="D114" i="1"/>
  <c r="D113" i="1"/>
  <c r="E112" i="1"/>
  <c r="D112" i="1"/>
  <c r="D111" i="1"/>
  <c r="E110" i="1"/>
  <c r="D110" i="1"/>
  <c r="D109" i="1"/>
  <c r="E108" i="1"/>
  <c r="D108" i="1"/>
  <c r="D107" i="1"/>
  <c r="E106" i="1"/>
  <c r="D106" i="1"/>
  <c r="D105" i="1"/>
  <c r="E104" i="1"/>
  <c r="D104" i="1"/>
  <c r="D103" i="1"/>
  <c r="E102" i="1"/>
  <c r="D102" i="1"/>
  <c r="D101" i="1"/>
  <c r="E100" i="1"/>
  <c r="D100" i="1"/>
  <c r="D99" i="1"/>
  <c r="E98" i="1"/>
  <c r="D98" i="1"/>
  <c r="D97" i="1"/>
  <c r="E96" i="1"/>
  <c r="D96" i="1"/>
  <c r="D95" i="1"/>
  <c r="E94" i="1"/>
  <c r="D94" i="1"/>
  <c r="D93" i="1"/>
  <c r="E92" i="1"/>
  <c r="D92" i="1"/>
  <c r="D91" i="1"/>
  <c r="E90" i="1"/>
  <c r="D90" i="1"/>
  <c r="D89" i="1"/>
  <c r="E88" i="1"/>
  <c r="D88" i="1"/>
  <c r="D87" i="1"/>
  <c r="E86" i="1"/>
  <c r="D86" i="1"/>
  <c r="D85" i="1"/>
  <c r="E84" i="1"/>
  <c r="D84" i="1"/>
  <c r="D83" i="1"/>
  <c r="E82" i="1"/>
  <c r="D82" i="1"/>
  <c r="D81" i="1"/>
  <c r="E80" i="1"/>
  <c r="D80" i="1"/>
  <c r="D79" i="1"/>
  <c r="E78" i="1"/>
  <c r="D78" i="1"/>
  <c r="D77" i="1"/>
  <c r="E76" i="1"/>
  <c r="D76" i="1"/>
  <c r="D75" i="1"/>
  <c r="E74" i="1"/>
  <c r="D74" i="1"/>
  <c r="D73" i="1"/>
  <c r="D65" i="1"/>
  <c r="D64" i="1"/>
  <c r="D63" i="1"/>
  <c r="E141" i="1" s="1"/>
  <c r="M57" i="1"/>
  <c r="L57" i="1"/>
  <c r="I57" i="1"/>
  <c r="H57" i="1"/>
  <c r="E57" i="1"/>
  <c r="D57" i="1"/>
  <c r="M56" i="1"/>
  <c r="L56" i="1"/>
  <c r="I56" i="1"/>
  <c r="H56" i="1"/>
  <c r="E56" i="1"/>
  <c r="D56" i="1"/>
  <c r="M55" i="1"/>
  <c r="L55" i="1"/>
  <c r="I55" i="1"/>
  <c r="D55" i="1"/>
  <c r="E55" i="1" s="1"/>
  <c r="P49" i="1"/>
  <c r="O49" i="1"/>
  <c r="L49" i="1"/>
  <c r="G49" i="1"/>
  <c r="F49" i="1"/>
  <c r="H49" i="1" s="1"/>
  <c r="E49" i="1"/>
  <c r="O48" i="1"/>
  <c r="P48" i="1" s="1"/>
  <c r="L48" i="1"/>
  <c r="G48" i="1"/>
  <c r="E48" i="1"/>
  <c r="F48" i="1" s="1"/>
  <c r="H48" i="1" s="1"/>
  <c r="P47" i="1"/>
  <c r="O47" i="1"/>
  <c r="L47" i="1"/>
  <c r="H47" i="1"/>
  <c r="G47" i="1"/>
  <c r="F47" i="1"/>
  <c r="E47" i="1"/>
  <c r="O46" i="1"/>
  <c r="P46" i="1" s="1"/>
  <c r="L46" i="1"/>
  <c r="I46" i="1"/>
  <c r="G46" i="1"/>
  <c r="E46" i="1"/>
  <c r="F46" i="1" s="1"/>
  <c r="H46" i="1" s="1"/>
  <c r="P25" i="1"/>
  <c r="O25" i="1"/>
  <c r="L25" i="1"/>
  <c r="J25" i="1"/>
  <c r="G25" i="1"/>
  <c r="F25" i="1"/>
  <c r="H25" i="1" s="1"/>
  <c r="E25" i="1"/>
  <c r="O24" i="1"/>
  <c r="P24" i="1" s="1"/>
  <c r="L24" i="1"/>
  <c r="G24" i="1"/>
  <c r="E24" i="1"/>
  <c r="F24" i="1" s="1"/>
  <c r="P23" i="1"/>
  <c r="O23" i="1"/>
  <c r="L23" i="1"/>
  <c r="H23" i="1"/>
  <c r="G23" i="1"/>
  <c r="F23" i="1"/>
  <c r="E23" i="1"/>
  <c r="O22" i="1"/>
  <c r="P22" i="1" s="1"/>
  <c r="L22" i="1"/>
  <c r="I22" i="1"/>
  <c r="G22" i="1"/>
  <c r="E22" i="1"/>
  <c r="F22" i="1" s="1"/>
  <c r="H22" i="1" s="1"/>
  <c r="O21" i="1"/>
  <c r="P21" i="1" s="1"/>
  <c r="L21" i="1"/>
  <c r="G21" i="1"/>
  <c r="F21" i="1"/>
  <c r="H21" i="1" s="1"/>
  <c r="E21" i="1"/>
  <c r="O20" i="1"/>
  <c r="P20" i="1" s="1"/>
  <c r="L20" i="1"/>
  <c r="G20" i="1"/>
  <c r="E20" i="1"/>
  <c r="F20" i="1" s="1"/>
  <c r="H20" i="1" s="1"/>
  <c r="P19" i="1"/>
  <c r="O19" i="1"/>
  <c r="L19" i="1"/>
  <c r="G19" i="1"/>
  <c r="E19" i="1"/>
  <c r="F19" i="1" s="1"/>
  <c r="H19" i="1" s="1"/>
  <c r="O18" i="1"/>
  <c r="P18" i="1" s="1"/>
  <c r="L18" i="1"/>
  <c r="G18" i="1"/>
  <c r="E18" i="1"/>
  <c r="F18" i="1" s="1"/>
  <c r="H18" i="1" s="1"/>
  <c r="J18" i="1" l="1"/>
  <c r="I18" i="1"/>
  <c r="K18" i="1" s="1"/>
  <c r="J19" i="1"/>
  <c r="K19" i="1" s="1"/>
  <c r="I19" i="1"/>
  <c r="I21" i="1"/>
  <c r="I47" i="1"/>
  <c r="M47" i="1" s="1"/>
  <c r="K47" i="1"/>
  <c r="J47" i="1"/>
  <c r="J21" i="1"/>
  <c r="I23" i="1"/>
  <c r="J23" i="1"/>
  <c r="K25" i="1"/>
  <c r="M25" i="1"/>
  <c r="I25" i="1"/>
  <c r="J46" i="1"/>
  <c r="K46" i="1"/>
  <c r="M46" i="1"/>
  <c r="J48" i="1"/>
  <c r="I48" i="1"/>
  <c r="K48" i="1" s="1"/>
  <c r="J20" i="1"/>
  <c r="I20" i="1"/>
  <c r="I49" i="1"/>
  <c r="J22" i="1"/>
  <c r="K22" i="1" s="1"/>
  <c r="H24" i="1"/>
  <c r="J49" i="1"/>
  <c r="K49" i="1" s="1"/>
  <c r="D140" i="1"/>
  <c r="E140" i="1"/>
  <c r="D141" i="1"/>
  <c r="E73" i="1"/>
  <c r="E75" i="1"/>
  <c r="E77" i="1"/>
  <c r="E79" i="1"/>
  <c r="E81" i="1"/>
  <c r="E83" i="1"/>
  <c r="E85" i="1"/>
  <c r="E87" i="1"/>
  <c r="E89" i="1"/>
  <c r="E91" i="1"/>
  <c r="E93" i="1"/>
  <c r="E95" i="1"/>
  <c r="E97" i="1"/>
  <c r="E99" i="1"/>
  <c r="E101" i="1"/>
  <c r="E103" i="1"/>
  <c r="E105" i="1"/>
  <c r="E107" i="1"/>
  <c r="E109" i="1"/>
  <c r="E111" i="1"/>
  <c r="E113" i="1"/>
  <c r="E115" i="1"/>
  <c r="E117" i="1"/>
  <c r="E119" i="1"/>
  <c r="E121" i="1"/>
  <c r="E123" i="1"/>
  <c r="E125" i="1"/>
  <c r="E127" i="1"/>
  <c r="E129" i="1"/>
  <c r="E131" i="1"/>
  <c r="E133" i="1"/>
  <c r="E135" i="1"/>
  <c r="E137" i="1"/>
  <c r="E139" i="1"/>
  <c r="Q47" i="1" l="1"/>
  <c r="S47" i="1"/>
  <c r="R47" i="1"/>
  <c r="T47" i="1" s="1"/>
  <c r="U47" i="1" s="1"/>
  <c r="N47" i="1"/>
  <c r="M18" i="1"/>
  <c r="J24" i="1"/>
  <c r="K24" i="1" s="1"/>
  <c r="I24" i="1"/>
  <c r="K20" i="1"/>
  <c r="M20" i="1" s="1"/>
  <c r="M48" i="1"/>
  <c r="M22" i="1"/>
  <c r="K23" i="1"/>
  <c r="M23" i="1" s="1"/>
  <c r="K21" i="1"/>
  <c r="M21" i="1" s="1"/>
  <c r="M19" i="1"/>
  <c r="M49" i="1"/>
  <c r="R46" i="1"/>
  <c r="N46" i="1"/>
  <c r="S46" i="1"/>
  <c r="Q46" i="1"/>
  <c r="T46" i="1" s="1"/>
  <c r="U46" i="1" s="1"/>
  <c r="S25" i="1"/>
  <c r="Q25" i="1"/>
  <c r="T25" i="1" s="1"/>
  <c r="U25" i="1" s="1"/>
  <c r="N25" i="1"/>
  <c r="R25" i="1"/>
  <c r="Q21" i="1" l="1"/>
  <c r="T21" i="1"/>
  <c r="U21" i="1" s="1"/>
  <c r="S21" i="1"/>
  <c r="R21" i="1"/>
  <c r="N21" i="1"/>
  <c r="R20" i="1"/>
  <c r="T20" i="1" s="1"/>
  <c r="U20" i="1" s="1"/>
  <c r="N20" i="1"/>
  <c r="Q20" i="1"/>
  <c r="S20" i="1"/>
  <c r="Q23" i="1"/>
  <c r="S23" i="1"/>
  <c r="R23" i="1"/>
  <c r="T23" i="1" s="1"/>
  <c r="U23" i="1" s="1"/>
  <c r="N23" i="1"/>
  <c r="S49" i="1"/>
  <c r="Q49" i="1"/>
  <c r="T49" i="1"/>
  <c r="U49" i="1" s="1"/>
  <c r="N49" i="1"/>
  <c r="R49" i="1"/>
  <c r="R22" i="1"/>
  <c r="N22" i="1"/>
  <c r="S22" i="1"/>
  <c r="Q22" i="1"/>
  <c r="T22" i="1" s="1"/>
  <c r="U22" i="1" s="1"/>
  <c r="S19" i="1"/>
  <c r="R19" i="1"/>
  <c r="N19" i="1"/>
  <c r="Q19" i="1"/>
  <c r="T19" i="1"/>
  <c r="U19" i="1" s="1"/>
  <c r="R48" i="1"/>
  <c r="N48" i="1"/>
  <c r="Q48" i="1"/>
  <c r="T48" i="1" s="1"/>
  <c r="U48" i="1" s="1"/>
  <c r="S48" i="1"/>
  <c r="M24" i="1"/>
  <c r="T18" i="1"/>
  <c r="U18" i="1" s="1"/>
  <c r="S18" i="1"/>
  <c r="R18" i="1"/>
  <c r="Q18" i="1"/>
  <c r="N18" i="1"/>
  <c r="R24" i="1" l="1"/>
  <c r="N24" i="1"/>
  <c r="Q24" i="1"/>
  <c r="T24" i="1" s="1"/>
  <c r="U24" i="1" s="1"/>
  <c r="S24" i="1"/>
</calcChain>
</file>

<file path=xl/sharedStrings.xml><?xml version="1.0" encoding="utf-8"?>
<sst xmlns="http://schemas.openxmlformats.org/spreadsheetml/2006/main" count="239" uniqueCount="167">
  <si>
    <t>TRACTORS</t>
  </si>
  <si>
    <t>Setting</t>
  </si>
  <si>
    <t>Cell</t>
  </si>
  <si>
    <t>Value</t>
  </si>
  <si>
    <t>Keterangan</t>
  </si>
  <si>
    <t>Kurs_USD_IDR</t>
  </si>
  <si>
    <t>B1</t>
  </si>
  <si>
    <t>Kurs Today</t>
  </si>
  <si>
    <t>Harga_Solar_perL</t>
  </si>
  <si>
    <t>B2</t>
  </si>
  <si>
    <t>Price Today</t>
  </si>
  <si>
    <t>Jam_Operasi_per_Tahun</t>
  </si>
  <si>
    <t>B3</t>
  </si>
  <si>
    <t>Asumsi</t>
  </si>
  <si>
    <t>Fuel_Factor_L_perHP_perHour</t>
  </si>
  <si>
    <t>B4</t>
  </si>
  <si>
    <t>Diskon_pct</t>
  </si>
  <si>
    <t>B5</t>
  </si>
  <si>
    <t>Asumsi 5%</t>
  </si>
  <si>
    <t>Shipping_USD</t>
  </si>
  <si>
    <t>B6</t>
  </si>
  <si>
    <t>Import_Duty_pct</t>
  </si>
  <si>
    <t>B7</t>
  </si>
  <si>
    <t>PDI_pct</t>
  </si>
  <si>
    <t>B8</t>
  </si>
  <si>
    <t>Asumsi 1%</t>
  </si>
  <si>
    <t>PPN_pct</t>
  </si>
  <si>
    <t>B9</t>
  </si>
  <si>
    <t>Tools_IDR</t>
  </si>
  <si>
    <t>B10</t>
  </si>
  <si>
    <t>Maintenance_pct_perYear</t>
  </si>
  <si>
    <t>B11</t>
  </si>
  <si>
    <t>3% dari harga pengadaan (acquisition cost)</t>
  </si>
  <si>
    <t>Overhaul_pct</t>
  </si>
  <si>
    <t>B12</t>
  </si>
  <si>
    <t>overhaul 20% dari acquisition cost</t>
  </si>
  <si>
    <t>Resale_pct</t>
  </si>
  <si>
    <t>B13</t>
  </si>
  <si>
    <t>35% dari acquisition cost</t>
  </si>
  <si>
    <t xml:space="preserve"> </t>
  </si>
  <si>
    <t>Model</t>
  </si>
  <si>
    <t>HP</t>
  </si>
  <si>
    <t>FOB_USD</t>
  </si>
  <si>
    <t>FOB_Diskon_USD</t>
  </si>
  <si>
    <t>FOB_IDR</t>
  </si>
  <si>
    <t>Shipping_IDR</t>
  </si>
  <si>
    <t>CIF_IDR</t>
  </si>
  <si>
    <t>ImportDuty_IDR</t>
  </si>
  <si>
    <t>PDI_IDR</t>
  </si>
  <si>
    <t>PPN_IDR</t>
  </si>
  <si>
    <t>Acquisition_IDR</t>
  </si>
  <si>
    <t>Selling</t>
  </si>
  <si>
    <t>Fuel_L_perYear</t>
  </si>
  <si>
    <t>FuelCost_perYear</t>
  </si>
  <si>
    <t>Maintenance_perYear</t>
  </si>
  <si>
    <t>Overhaul</t>
  </si>
  <si>
    <t>Resale</t>
  </si>
  <si>
    <t>TCO_5yr</t>
  </si>
  <si>
    <t>TCO_perYear</t>
  </si>
  <si>
    <t>XL354</t>
  </si>
  <si>
    <t>XL504</t>
  </si>
  <si>
    <t>XL704</t>
  </si>
  <si>
    <t>ZL804</t>
  </si>
  <si>
    <t>ZL904</t>
  </si>
  <si>
    <t>ZL1004</t>
  </si>
  <si>
    <t>XA1104</t>
  </si>
  <si>
    <t>XA1204</t>
  </si>
  <si>
    <t>RICE HARVESTERS</t>
  </si>
  <si>
    <t>4LZ-5B</t>
  </si>
  <si>
    <t>4LZ-6</t>
  </si>
  <si>
    <t>4LZ-7</t>
  </si>
  <si>
    <t>REMOTE CONTROLLED MOWER (Masa Pakai Ideal: 5 Tahun)</t>
  </si>
  <si>
    <t>FOB</t>
  </si>
  <si>
    <t>Power</t>
  </si>
  <si>
    <t>Jam Operasi/Tahun</t>
  </si>
  <si>
    <t>Biaya Energi /BBM/ Tahun (IDR)</t>
  </si>
  <si>
    <t>Biaya Maintenance/Tahun (IDR)</t>
  </si>
  <si>
    <t>Biaya Operator/Tahun (IDR)</t>
  </si>
  <si>
    <t>Biaya Battery Replacement</t>
  </si>
  <si>
    <t>Total Biaya Operasional      (5 Tahun)</t>
  </si>
  <si>
    <t>TCO (5 Tahun)</t>
  </si>
  <si>
    <t>YSJGC-80D (Electric)</t>
  </si>
  <si>
    <t>3kW</t>
  </si>
  <si>
    <t>YSJGC-80 (Diesel)</t>
  </si>
  <si>
    <t>192F</t>
  </si>
  <si>
    <t>YSJGC-90P (Gasoline)</t>
  </si>
  <si>
    <t>22HP</t>
  </si>
  <si>
    <t>ANALISIS TCO (Total Cost of Ownership)</t>
  </si>
  <si>
    <t>Shandong Gold Dafeng Machinery Co., Ltd</t>
  </si>
  <si>
    <t>UNIT</t>
  </si>
  <si>
    <t>IMPLEMENT</t>
  </si>
  <si>
    <t>Kurs USD ke IDR:</t>
  </si>
  <si>
    <t>Kurs CNY ke IDR:</t>
  </si>
  <si>
    <t>Harga Solar per Liter:</t>
  </si>
  <si>
    <t>BIAYA-BIAYA</t>
  </si>
  <si>
    <t>Margin</t>
  </si>
  <si>
    <t>ATTACHMENT/IMPLEMENT</t>
  </si>
  <si>
    <t>Item</t>
  </si>
  <si>
    <t>Rice Transplanter 2ZGC-6 (Diesel)</t>
  </si>
  <si>
    <t>Rice Transplanter 2ZGQ-6 (Gasoline)</t>
  </si>
  <si>
    <t>Rice Transplanter 2ZGQ-8 (Gasoline)</t>
  </si>
  <si>
    <t>Square Straw Baler 9YFQ-1960</t>
  </si>
  <si>
    <t>Pneumatic Precision Seeder 2BQ-4</t>
  </si>
  <si>
    <t>Pneumatic Precision Seeder 2BQ-6</t>
  </si>
  <si>
    <t>Pneumatic Precision Seeder 2BQ-8</t>
  </si>
  <si>
    <t>Pneumatic Precision Seeder 2BQ-10</t>
  </si>
  <si>
    <t>Pneumatic Precision Seeder 2BQ-12</t>
  </si>
  <si>
    <t>Compound Precision Strip Seeder 2BFBQ-16</t>
  </si>
  <si>
    <t>Compound Precision Strip Seeder 2BFBQ-20</t>
  </si>
  <si>
    <t>Hydraulic Reversible Plow 1LF-325</t>
  </si>
  <si>
    <t>Rotary Tiller 1GQN-125</t>
  </si>
  <si>
    <t>Rotary Tiller 1GQN-140</t>
  </si>
  <si>
    <t>Rotary Tiller 1GQN-150</t>
  </si>
  <si>
    <t>Low Box Rotary Tiller 1GQN-160</t>
  </si>
  <si>
    <t>Low Box Rotary Tiller 1GQN-180</t>
  </si>
  <si>
    <t>Low Box Rotary Tiller 1GQN-200</t>
  </si>
  <si>
    <t>Medium Box Rotary Tiller 1GQN-200</t>
  </si>
  <si>
    <t>Medium Box Rotary Tiller 1GQN-230</t>
  </si>
  <si>
    <t>Large-Medium Box Rotary Tiller 1GQN-200</t>
  </si>
  <si>
    <t>Large-Medium Box Rotary Tiller 1GQN-230</t>
  </si>
  <si>
    <t>Large-Medium Box Rotary Tiller 1GQN-250</t>
  </si>
  <si>
    <t>Large-Medium Box Rotary Tiller 1GQN-280</t>
  </si>
  <si>
    <t>Large Tall-Box Rotary Tiller 1GQN-280</t>
  </si>
  <si>
    <t>Large Tall-Box Rotary Tiller 1GQN-300</t>
  </si>
  <si>
    <t>Rotary Tiller Fertilizer Seeder 2BFG-9(160)</t>
  </si>
  <si>
    <t>Rotary Tiller Fertilizer Seeder 2BFG-11(200)</t>
  </si>
  <si>
    <t>Rotary Tiller Fertilizer Seeder 2BFG-12(8)(200)</t>
  </si>
  <si>
    <t>Rotary Tiller Fertilizer Seeder 2BFG-12(8)(200)X</t>
  </si>
  <si>
    <t>Rotary Tiller Fertilizer Seeder 2BFG-14(8)(230)</t>
  </si>
  <si>
    <t>Rotary Tiller Fertilizer Seeder 2BFG-14(8)(230)X</t>
  </si>
  <si>
    <t>Rotary Tiller Fertilizer Seeder 2BFG-16(10)(250)</t>
  </si>
  <si>
    <t>Rotary Tiller Fertilizer Seeder 2BFG-16(10)(250)X</t>
  </si>
  <si>
    <t>Rotary Tiller Fertilizer Seeder 2BFG-18(10)(280)</t>
  </si>
  <si>
    <t>Rotary Tiller Fertilizer Seeder 2BFG-18(10)(280)X</t>
  </si>
  <si>
    <t>Single-Axle Trailer Rear Dump 7CX-3</t>
  </si>
  <si>
    <t>Dual-Axle Trailer Side Dump 7CX-3</t>
  </si>
  <si>
    <t>Single-Axle Trailer Rear Dump 7CX-4</t>
  </si>
  <si>
    <t>Dual-Axle Trailer Side Dump 7CX-4</t>
  </si>
  <si>
    <t>Single-Axle Trailer Rear Dump 7CX-5</t>
  </si>
  <si>
    <t>Single-Axle Trailer Rear Dump 7CX-5 (High Side)</t>
  </si>
  <si>
    <t>Dual-Axle Trailer Side Dump 7CX-5</t>
  </si>
  <si>
    <t>Dual-Axle Trailer Side Dump 7CX-6</t>
  </si>
  <si>
    <t>Dual-Axle Trailer Side Dump 7CX-8</t>
  </si>
  <si>
    <t>Dual-Axle Trailer Side Dump 7CX-9</t>
  </si>
  <si>
    <t>Dual-Axle Trailer Side Dump 7CX-10</t>
  </si>
  <si>
    <t>Subsoiler 1S-300</t>
  </si>
  <si>
    <t>Sprayer 3W-200-6</t>
  </si>
  <si>
    <t>Sprayer 3W-300-6</t>
  </si>
  <si>
    <t>Sprayer 3W-400-6</t>
  </si>
  <si>
    <t>Sprayer 3W-500-10</t>
  </si>
  <si>
    <t>Sprayer 3W-500-12</t>
  </si>
  <si>
    <t>Sprayer 3W-600-10</t>
  </si>
  <si>
    <t>Sprayer 3W-600-12</t>
  </si>
  <si>
    <t>Sprayer 3W-700-10</t>
  </si>
  <si>
    <t>Sprayer 3W-700-12</t>
  </si>
  <si>
    <t>Sprayer 3W-800-10</t>
  </si>
  <si>
    <t>Sprayer 3W-800-12</t>
  </si>
  <si>
    <t>Sprayer 3W-900-10</t>
  </si>
  <si>
    <t>Sprayer 3W-900-12</t>
  </si>
  <si>
    <t>Sprayer 3W-1000-10</t>
  </si>
  <si>
    <t>Sprayer 3W-1000-12</t>
  </si>
  <si>
    <t>Disc Plough 1LYQ(T)-220</t>
  </si>
  <si>
    <t>Disc Plough 1LYQ(T)-320</t>
  </si>
  <si>
    <t>Disc Plough 1LYQ(T)-420</t>
  </si>
  <si>
    <t>Disc Plough 1LYQ(T)-520</t>
  </si>
  <si>
    <t>Disc Harrow 1BZ-2.2</t>
  </si>
  <si>
    <t>Disc Harrow 1BZ-2.6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</si>
</sst>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-* #,##0_-;\-* #,##0_-;_-* \-??_-;_-@_-"/>
    <numFmt numFmtId="166" formatCode="_-* #,##0.00_-;\-* #,##0.00_-;_-* \-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00B0F0"/>
        <bgColor rgb="FF00B050"/>
      </patternFill>
    </fill>
    <fill>
      <patternFill patternType="solid">
        <fgColor rgb="FFFFFF00"/>
        <bgColor rgb="FFFFC000"/>
      </patternFill>
    </fill>
    <fill>
      <patternFill patternType="solid">
        <fgColor rgb="FF00B050"/>
        <bgColor rgb="FF1E8449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6" tint="0.39988402966399123"/>
        <bgColor rgb="FFCCCCCC"/>
      </patternFill>
    </fill>
    <fill>
      <patternFill patternType="solid">
        <fgColor rgb="FF92D050"/>
        <bgColor rgb="FFC3D69B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3" fillId="0" borderId="0"/>
    <xf numFmtId="0" fontId="1" fillId="0" borderId="0"/>
    <xf numFmtId="164" fontId="1" fillId="0" borderId="0"/>
  </cellStyleXfs>
  <cellXfs count="70">
    <xf numFmtId="0" fontId="0" fillId="0" borderId="0" xfId="0"/>
    <xf numFmtId="0" fontId="1" fillId="0" borderId="0" xfId="2" applyAlignment="1">
      <alignment horizontal="right" vertical="center"/>
    </xf>
    <xf numFmtId="0" fontId="2" fillId="2" borderId="1" xfId="2" applyFont="1" applyFill="1" applyBorder="1" applyAlignment="1">
      <alignment horizontal="center"/>
    </xf>
    <xf numFmtId="0" fontId="1" fillId="0" borderId="0" xfId="2"/>
    <xf numFmtId="0" fontId="2" fillId="3" borderId="2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2" xfId="2" applyBorder="1"/>
    <xf numFmtId="0" fontId="1" fillId="0" borderId="2" xfId="2" applyBorder="1" applyAlignment="1">
      <alignment horizontal="center"/>
    </xf>
    <xf numFmtId="165" fontId="1" fillId="0" borderId="2" xfId="3" applyNumberFormat="1" applyBorder="1" applyAlignment="1">
      <alignment horizontal="right"/>
    </xf>
    <xf numFmtId="0" fontId="1" fillId="0" borderId="2" xfId="2" applyBorder="1" applyAlignment="1">
      <alignment horizontal="left" vertical="center" wrapText="1"/>
    </xf>
    <xf numFmtId="0" fontId="1" fillId="0" borderId="2" xfId="2" applyBorder="1" applyAlignment="1">
      <alignment horizontal="right"/>
    </xf>
    <xf numFmtId="2" fontId="1" fillId="0" borderId="2" xfId="2" applyNumberFormat="1" applyBorder="1" applyAlignment="1">
      <alignment horizontal="left" vertical="center" wrapText="1"/>
    </xf>
    <xf numFmtId="9" fontId="1" fillId="0" borderId="2" xfId="2" applyNumberFormat="1" applyBorder="1" applyAlignment="1">
      <alignment horizontal="left" vertical="center" wrapText="1"/>
    </xf>
    <xf numFmtId="0" fontId="1" fillId="0" borderId="2" xfId="2" applyBorder="1" applyAlignment="1">
      <alignment vertical="center"/>
    </xf>
    <xf numFmtId="0" fontId="1" fillId="0" borderId="2" xfId="2" applyBorder="1" applyAlignment="1">
      <alignment horizontal="center" vertical="center"/>
    </xf>
    <xf numFmtId="0" fontId="1" fillId="0" borderId="2" xfId="2" applyBorder="1" applyAlignment="1">
      <alignment horizontal="right" vertical="center"/>
    </xf>
    <xf numFmtId="0" fontId="1" fillId="0" borderId="0" xfId="2" applyAlignment="1">
      <alignment vertical="center"/>
    </xf>
    <xf numFmtId="0" fontId="1" fillId="0" borderId="0" xfId="2" applyAlignment="1">
      <alignment wrapText="1"/>
    </xf>
    <xf numFmtId="165" fontId="1" fillId="0" borderId="0" xfId="2" applyNumberFormat="1"/>
    <xf numFmtId="9" fontId="2" fillId="0" borderId="0" xfId="2" applyNumberFormat="1" applyFont="1" applyAlignment="1">
      <alignment horizontal="center" vertical="center"/>
    </xf>
    <xf numFmtId="0" fontId="1" fillId="0" borderId="0" xfId="2" applyAlignment="1">
      <alignment horizontal="right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" fillId="6" borderId="2" xfId="2" applyFill="1" applyBorder="1" applyAlignment="1">
      <alignment horizontal="center" vertical="center"/>
    </xf>
    <xf numFmtId="0" fontId="1" fillId="6" borderId="2" xfId="2" applyFill="1" applyBorder="1" applyAlignment="1">
      <alignment horizontal="center"/>
    </xf>
    <xf numFmtId="165" fontId="1" fillId="6" borderId="2" xfId="3" applyNumberFormat="1" applyFill="1" applyBorder="1"/>
    <xf numFmtId="165" fontId="1" fillId="6" borderId="2" xfId="3" applyNumberFormat="1" applyFill="1" applyBorder="1" applyAlignment="1">
      <alignment wrapText="1"/>
    </xf>
    <xf numFmtId="165" fontId="1" fillId="6" borderId="2" xfId="2" applyNumberFormat="1" applyFill="1" applyBorder="1"/>
    <xf numFmtId="165" fontId="1" fillId="0" borderId="2" xfId="3" applyNumberFormat="1" applyBorder="1"/>
    <xf numFmtId="165" fontId="1" fillId="0" borderId="2" xfId="3" applyNumberFormat="1" applyBorder="1" applyAlignment="1">
      <alignment wrapText="1"/>
    </xf>
    <xf numFmtId="165" fontId="1" fillId="0" borderId="2" xfId="2" applyNumberFormat="1" applyBorder="1"/>
    <xf numFmtId="0" fontId="1" fillId="3" borderId="2" xfId="2" applyFill="1" applyBorder="1"/>
    <xf numFmtId="0" fontId="1" fillId="3" borderId="2" xfId="2" applyFill="1" applyBorder="1" applyAlignment="1">
      <alignment wrapText="1"/>
    </xf>
    <xf numFmtId="166" fontId="1" fillId="0" borderId="2" xfId="3" applyNumberFormat="1" applyBorder="1"/>
    <xf numFmtId="0" fontId="1" fillId="0" borderId="2" xfId="3" applyNumberFormat="1" applyBorder="1" applyAlignment="1">
      <alignment horizontal="right"/>
    </xf>
    <xf numFmtId="166" fontId="1" fillId="0" borderId="2" xfId="3" applyNumberFormat="1" applyBorder="1" applyAlignment="1">
      <alignment vertical="center"/>
    </xf>
    <xf numFmtId="9" fontId="2" fillId="0" borderId="0" xfId="2" applyNumberFormat="1" applyFont="1" applyAlignment="1">
      <alignment horizontal="center"/>
    </xf>
    <xf numFmtId="0" fontId="2" fillId="4" borderId="2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  <xf numFmtId="0" fontId="1" fillId="7" borderId="2" xfId="2" applyFill="1" applyBorder="1"/>
    <xf numFmtId="165" fontId="1" fillId="0" borderId="2" xfId="2" applyNumberFormat="1" applyBorder="1" applyAlignment="1">
      <alignment wrapText="1"/>
    </xf>
    <xf numFmtId="0" fontId="1" fillId="6" borderId="2" xfId="2" applyFill="1" applyBorder="1"/>
    <xf numFmtId="165" fontId="1" fillId="6" borderId="2" xfId="2" applyNumberFormat="1" applyFill="1" applyBorder="1" applyAlignment="1">
      <alignment wrapText="1"/>
    </xf>
    <xf numFmtId="165" fontId="1" fillId="6" borderId="2" xfId="3" applyNumberFormat="1" applyFill="1" applyBorder="1" applyAlignment="1">
      <alignment horizontal="right"/>
    </xf>
    <xf numFmtId="0" fontId="1" fillId="4" borderId="2" xfId="2" applyFill="1" applyBorder="1"/>
    <xf numFmtId="0" fontId="1" fillId="4" borderId="2" xfId="2" applyFill="1" applyBorder="1" applyAlignment="1">
      <alignment horizontal="center"/>
    </xf>
    <xf numFmtId="165" fontId="1" fillId="4" borderId="2" xfId="2" applyNumberFormat="1" applyFill="1" applyBorder="1" applyAlignment="1">
      <alignment wrapText="1"/>
    </xf>
    <xf numFmtId="165" fontId="1" fillId="4" borderId="2" xfId="3" applyNumberFormat="1" applyFill="1" applyBorder="1"/>
    <xf numFmtId="165" fontId="1" fillId="4" borderId="2" xfId="2" applyNumberFormat="1" applyFill="1" applyBorder="1"/>
    <xf numFmtId="165" fontId="1" fillId="4" borderId="2" xfId="3" applyNumberFormat="1" applyFill="1" applyBorder="1" applyAlignment="1">
      <alignment horizontal="right"/>
    </xf>
    <xf numFmtId="165" fontId="1" fillId="0" borderId="0" xfId="2" applyNumberFormat="1" applyAlignment="1">
      <alignment wrapText="1"/>
    </xf>
    <xf numFmtId="165" fontId="1" fillId="0" borderId="0" xfId="3" applyNumberFormat="1"/>
    <xf numFmtId="165" fontId="1" fillId="0" borderId="0" xfId="3" applyNumberFormat="1" applyAlignment="1">
      <alignment horizontal="right"/>
    </xf>
    <xf numFmtId="0" fontId="2" fillId="2" borderId="3" xfId="2" applyFont="1" applyFill="1" applyBorder="1" applyAlignment="1">
      <alignment horizontal="center" wrapText="1"/>
    </xf>
    <xf numFmtId="0" fontId="2" fillId="0" borderId="3" xfId="2" applyFont="1" applyBorder="1" applyAlignment="1">
      <alignment wrapText="1"/>
    </xf>
    <xf numFmtId="0" fontId="1" fillId="0" borderId="2" xfId="2" applyBorder="1" applyAlignment="1">
      <alignment horizontal="center" vertical="center" wrapText="1"/>
    </xf>
    <xf numFmtId="165" fontId="1" fillId="0" borderId="2" xfId="3" applyNumberFormat="1" applyBorder="1" applyAlignment="1">
      <alignment horizontal="center" vertical="center" wrapText="1"/>
    </xf>
    <xf numFmtId="165" fontId="1" fillId="0" borderId="2" xfId="3" applyNumberFormat="1" applyBorder="1" applyAlignment="1">
      <alignment horizontal="center" vertical="center"/>
    </xf>
    <xf numFmtId="0" fontId="1" fillId="0" borderId="2" xfId="2" applyBorder="1" applyAlignment="1">
      <alignment wrapText="1"/>
    </xf>
    <xf numFmtId="0" fontId="1" fillId="0" borderId="2" xfId="2" applyBorder="1" applyAlignment="1">
      <alignment horizontal="center" wrapText="1"/>
    </xf>
    <xf numFmtId="0" fontId="1" fillId="8" borderId="2" xfId="2" applyFill="1" applyBorder="1" applyAlignment="1">
      <alignment horizontal="center" wrapText="1"/>
    </xf>
    <xf numFmtId="0" fontId="1" fillId="8" borderId="2" xfId="2" applyFill="1" applyBorder="1" applyAlignment="1">
      <alignment horizontal="center" vertical="center" wrapText="1"/>
    </xf>
    <xf numFmtId="166" fontId="1" fillId="0" borderId="2" xfId="3" applyNumberFormat="1" applyBorder="1" applyAlignment="1">
      <alignment wrapText="1"/>
    </xf>
    <xf numFmtId="166" fontId="1" fillId="0" borderId="2" xfId="3" applyNumberFormat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1" fillId="0" borderId="2" xfId="2" applyBorder="1" applyAlignment="1">
      <alignment vertical="center" wrapText="1"/>
    </xf>
    <xf numFmtId="165" fontId="3" fillId="0" borderId="2" xfId="1" applyNumberFormat="1" applyBorder="1"/>
    <xf numFmtId="165" fontId="1" fillId="0" borderId="2" xfId="3" applyNumberFormat="1" applyBorder="1" applyAlignment="1">
      <alignment vertical="center" wrapText="1"/>
    </xf>
  </cellXfs>
  <cellStyles count="4">
    <cellStyle name="Comma" xfId="1" builtinId="3"/>
    <cellStyle name="Comma 2" xfId="3" xr:uid="{F670BC56-AD15-4288-BDE7-25BFD7A2CF93}"/>
    <cellStyle name="Normal" xfId="0" builtinId="0"/>
    <cellStyle name="Normal 2" xfId="2" xr:uid="{D79719C5-5BFE-4EC2-92BB-60325F8FB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BC8D-5E16-48A9-9B14-28055FE6163B}">
  <sheetPr>
    <tabColor rgb="FF00B050"/>
  </sheetPr>
  <dimension ref="A1:U141"/>
  <sheetViews>
    <sheetView tabSelected="1" zoomScale="60" zoomScaleNormal="60" workbookViewId="0">
      <selection activeCell="N49" sqref="N49"/>
    </sheetView>
  </sheetViews>
  <sheetFormatPr defaultColWidth="8.88671875" defaultRowHeight="14.4" x14ac:dyDescent="0.3"/>
  <cols>
    <col min="1" max="1" width="3.44140625" style="1" customWidth="1"/>
    <col min="2" max="2" width="26.44140625" style="3" customWidth="1"/>
    <col min="3" max="3" width="50.44140625" style="3" customWidth="1"/>
    <col min="4" max="4" width="20.33203125" style="3" customWidth="1"/>
    <col min="5" max="5" width="50.44140625" style="18" customWidth="1"/>
    <col min="6" max="6" width="20.33203125" style="3" customWidth="1"/>
    <col min="7" max="7" width="21" style="3" customWidth="1"/>
    <col min="8" max="8" width="19.88671875" style="3" customWidth="1"/>
    <col min="9" max="9" width="24.5546875" style="3" customWidth="1"/>
    <col min="10" max="10" width="20" style="3" customWidth="1"/>
    <col min="11" max="11" width="16.21875" style="3" customWidth="1"/>
    <col min="12" max="12" width="17.33203125" style="3" customWidth="1"/>
    <col min="13" max="13" width="20.33203125" style="3" customWidth="1"/>
    <col min="14" max="14" width="13.77734375" style="3" customWidth="1"/>
    <col min="15" max="15" width="19.88671875" style="3" customWidth="1"/>
    <col min="16" max="16" width="22.109375" style="3" customWidth="1"/>
    <col min="17" max="17" width="26.77734375" style="3" customWidth="1"/>
    <col min="18" max="18" width="12.6640625" style="3" customWidth="1"/>
    <col min="19" max="19" width="13.44140625" style="3" customWidth="1"/>
    <col min="20" max="20" width="15.33203125" style="3" customWidth="1"/>
    <col min="21" max="21" width="17.109375" style="3" customWidth="1"/>
    <col min="22" max="16384" width="8.88671875" style="3"/>
  </cols>
  <sheetData>
    <row r="1" spans="1:14" x14ac:dyDescent="0.3">
      <c r="B1" s="2" t="s">
        <v>0</v>
      </c>
      <c r="C1" s="2"/>
      <c r="D1" s="2"/>
      <c r="E1" s="2"/>
    </row>
    <row r="2" spans="1:14" s="6" customFormat="1" x14ac:dyDescent="0.3">
      <c r="A2" s="1"/>
      <c r="B2" s="4" t="s">
        <v>1</v>
      </c>
      <c r="C2" s="4" t="s">
        <v>2</v>
      </c>
      <c r="D2" s="4" t="s">
        <v>3</v>
      </c>
      <c r="E2" s="5" t="s">
        <v>4</v>
      </c>
    </row>
    <row r="3" spans="1:14" x14ac:dyDescent="0.3">
      <c r="B3" s="7" t="s">
        <v>5</v>
      </c>
      <c r="C3" s="8" t="s">
        <v>6</v>
      </c>
      <c r="D3" s="9">
        <v>17000</v>
      </c>
      <c r="E3" s="10" t="s">
        <v>7</v>
      </c>
    </row>
    <row r="4" spans="1:14" x14ac:dyDescent="0.3">
      <c r="B4" s="7" t="s">
        <v>8</v>
      </c>
      <c r="C4" s="8" t="s">
        <v>9</v>
      </c>
      <c r="D4" s="9">
        <v>14000</v>
      </c>
      <c r="E4" s="10" t="s">
        <v>10</v>
      </c>
    </row>
    <row r="5" spans="1:14" x14ac:dyDescent="0.3">
      <c r="B5" s="7" t="s">
        <v>11</v>
      </c>
      <c r="C5" s="8" t="s">
        <v>12</v>
      </c>
      <c r="D5" s="9">
        <v>1000</v>
      </c>
      <c r="E5" s="10" t="s">
        <v>13</v>
      </c>
    </row>
    <row r="6" spans="1:14" x14ac:dyDescent="0.3">
      <c r="B6" s="7" t="s">
        <v>14</v>
      </c>
      <c r="C6" s="8" t="s">
        <v>15</v>
      </c>
      <c r="D6" s="11">
        <v>0.08</v>
      </c>
      <c r="E6" s="10" t="s">
        <v>13</v>
      </c>
    </row>
    <row r="7" spans="1:14" x14ac:dyDescent="0.3">
      <c r="B7" s="7" t="s">
        <v>16</v>
      </c>
      <c r="C7" s="8" t="s">
        <v>17</v>
      </c>
      <c r="D7" s="11">
        <v>0</v>
      </c>
      <c r="E7" s="12" t="s">
        <v>18</v>
      </c>
    </row>
    <row r="8" spans="1:14" x14ac:dyDescent="0.3">
      <c r="B8" s="7" t="s">
        <v>19</v>
      </c>
      <c r="C8" s="8" t="s">
        <v>20</v>
      </c>
      <c r="D8" s="9">
        <v>1100</v>
      </c>
      <c r="E8" s="10" t="s">
        <v>13</v>
      </c>
    </row>
    <row r="9" spans="1:14" x14ac:dyDescent="0.3">
      <c r="B9" s="7" t="s">
        <v>21</v>
      </c>
      <c r="C9" s="8" t="s">
        <v>22</v>
      </c>
      <c r="D9" s="11">
        <v>0.05</v>
      </c>
      <c r="E9" s="12" t="s">
        <v>18</v>
      </c>
    </row>
    <row r="10" spans="1:14" x14ac:dyDescent="0.3">
      <c r="B10" s="7" t="s">
        <v>23</v>
      </c>
      <c r="C10" s="8" t="s">
        <v>24</v>
      </c>
      <c r="D10" s="11">
        <v>0.01</v>
      </c>
      <c r="E10" s="12" t="s">
        <v>25</v>
      </c>
    </row>
    <row r="11" spans="1:14" x14ac:dyDescent="0.3">
      <c r="B11" s="7" t="s">
        <v>26</v>
      </c>
      <c r="C11" s="8" t="s">
        <v>27</v>
      </c>
      <c r="D11" s="11">
        <v>0.12</v>
      </c>
      <c r="E11" s="13">
        <v>0.12</v>
      </c>
    </row>
    <row r="12" spans="1:14" x14ac:dyDescent="0.3">
      <c r="B12" s="7" t="s">
        <v>28</v>
      </c>
      <c r="C12" s="8" t="s">
        <v>29</v>
      </c>
      <c r="D12" s="9">
        <v>7500000</v>
      </c>
      <c r="E12" s="10"/>
    </row>
    <row r="13" spans="1:14" s="17" customFormat="1" ht="28.5" customHeight="1" x14ac:dyDescent="0.3">
      <c r="A13" s="1"/>
      <c r="B13" s="14" t="s">
        <v>30</v>
      </c>
      <c r="C13" s="15" t="s">
        <v>31</v>
      </c>
      <c r="D13" s="16">
        <v>0.03</v>
      </c>
      <c r="E13" s="10" t="s">
        <v>32</v>
      </c>
    </row>
    <row r="14" spans="1:14" s="17" customFormat="1" ht="28.5" customHeight="1" x14ac:dyDescent="0.3">
      <c r="A14" s="1"/>
      <c r="B14" s="14" t="s">
        <v>33</v>
      </c>
      <c r="C14" s="15" t="s">
        <v>34</v>
      </c>
      <c r="D14" s="16">
        <v>0.2</v>
      </c>
      <c r="E14" s="10" t="s">
        <v>35</v>
      </c>
    </row>
    <row r="15" spans="1:14" s="17" customFormat="1" x14ac:dyDescent="0.3">
      <c r="A15" s="1"/>
      <c r="B15" s="14" t="s">
        <v>36</v>
      </c>
      <c r="C15" s="15" t="s">
        <v>37</v>
      </c>
      <c r="D15" s="16">
        <v>0.35</v>
      </c>
      <c r="E15" s="10" t="s">
        <v>38</v>
      </c>
    </row>
    <row r="16" spans="1:14" x14ac:dyDescent="0.3">
      <c r="B16" s="3" t="s">
        <v>39</v>
      </c>
      <c r="K16" s="19"/>
      <c r="N16" s="20">
        <v>0.2</v>
      </c>
    </row>
    <row r="17" spans="1:21" s="24" customFormat="1" x14ac:dyDescent="0.3">
      <c r="A17" s="21"/>
      <c r="B17" s="5" t="s">
        <v>40</v>
      </c>
      <c r="C17" s="5" t="s">
        <v>41</v>
      </c>
      <c r="D17" s="5" t="s">
        <v>42</v>
      </c>
      <c r="E17" s="5" t="s">
        <v>43</v>
      </c>
      <c r="F17" s="22" t="s">
        <v>44</v>
      </c>
      <c r="G17" s="5" t="s">
        <v>45</v>
      </c>
      <c r="H17" s="5" t="s">
        <v>46</v>
      </c>
      <c r="I17" s="5" t="s">
        <v>47</v>
      </c>
      <c r="J17" s="5" t="s">
        <v>48</v>
      </c>
      <c r="K17" s="5" t="s">
        <v>49</v>
      </c>
      <c r="L17" s="5" t="s">
        <v>28</v>
      </c>
      <c r="M17" s="22" t="s">
        <v>50</v>
      </c>
      <c r="N17" s="23" t="s">
        <v>51</v>
      </c>
      <c r="O17" s="5" t="s">
        <v>52</v>
      </c>
      <c r="P17" s="5" t="s">
        <v>53</v>
      </c>
      <c r="Q17" s="5" t="s">
        <v>54</v>
      </c>
      <c r="R17" s="5" t="s">
        <v>55</v>
      </c>
      <c r="S17" s="5" t="s">
        <v>56</v>
      </c>
      <c r="T17" s="5" t="s">
        <v>57</v>
      </c>
      <c r="U17" s="5" t="s">
        <v>58</v>
      </c>
    </row>
    <row r="18" spans="1:21" x14ac:dyDescent="0.3">
      <c r="A18" s="1">
        <v>1</v>
      </c>
      <c r="B18" s="25" t="s">
        <v>59</v>
      </c>
      <c r="C18" s="26">
        <v>30</v>
      </c>
      <c r="D18" s="27">
        <v>5296</v>
      </c>
      <c r="E18" s="28">
        <f t="shared" ref="E18:E25" si="0">D18*(1-$D$7)</f>
        <v>5296</v>
      </c>
      <c r="F18" s="27">
        <f t="shared" ref="F18:F25" si="1">E18*$D$3</f>
        <v>90032000</v>
      </c>
      <c r="G18" s="27">
        <f t="shared" ref="G18:G25" si="2">$D$8*$D$3</f>
        <v>18700000</v>
      </c>
      <c r="H18" s="29">
        <f t="shared" ref="H18:H25" si="3">F18+G18</f>
        <v>108732000</v>
      </c>
      <c r="I18" s="29">
        <f t="shared" ref="I18:I25" si="4">H18*$D$9</f>
        <v>5436600</v>
      </c>
      <c r="J18" s="29">
        <f t="shared" ref="J18:J25" si="5">H18*$D$10</f>
        <v>1087320</v>
      </c>
      <c r="K18" s="29">
        <f t="shared" ref="K18:K25" si="6">(H18+I18+J18+$D$12)*$D$11</f>
        <v>14730710.4</v>
      </c>
      <c r="L18" s="29">
        <f>D12</f>
        <v>7500000</v>
      </c>
      <c r="M18" s="29">
        <f t="shared" ref="M18:M25" si="7">H18+I18+J18+K18+L18</f>
        <v>137486630.40000001</v>
      </c>
      <c r="N18" s="29">
        <f t="shared" ref="N18:N25" si="8">(M18*$N$16)+M18</f>
        <v>164983956.48000002</v>
      </c>
      <c r="O18" s="29">
        <f t="shared" ref="O18:O25" si="9">$D$6*C18*$D$5</f>
        <v>2400</v>
      </c>
      <c r="P18" s="29">
        <f t="shared" ref="P18:P25" si="10">O18*$D$4</f>
        <v>33600000</v>
      </c>
      <c r="Q18" s="29">
        <f t="shared" ref="Q18:Q25" si="11">$D$13*M18</f>
        <v>4124598.912</v>
      </c>
      <c r="R18" s="29">
        <f t="shared" ref="R18:R25" si="12">$D$14*M18</f>
        <v>27497326.080000002</v>
      </c>
      <c r="S18" s="29">
        <f t="shared" ref="S18:S25" si="13">$D$15*M18</f>
        <v>48120320.640000001</v>
      </c>
      <c r="T18" s="29">
        <f t="shared" ref="T18:T25" si="14">M18 + (O18*5 + P18*5 + Q18*5) + R18</f>
        <v>353618951.04000002</v>
      </c>
      <c r="U18" s="29">
        <f t="shared" ref="U18:U25" si="15">T18/5</f>
        <v>70723790.208000004</v>
      </c>
    </row>
    <row r="19" spans="1:21" x14ac:dyDescent="0.3">
      <c r="A19" s="1">
        <v>2</v>
      </c>
      <c r="B19" s="15" t="s">
        <v>60</v>
      </c>
      <c r="C19" s="8">
        <v>50</v>
      </c>
      <c r="D19" s="30">
        <v>5324</v>
      </c>
      <c r="E19" s="31">
        <f t="shared" si="0"/>
        <v>5324</v>
      </c>
      <c r="F19" s="30">
        <f t="shared" si="1"/>
        <v>90508000</v>
      </c>
      <c r="G19" s="30">
        <f t="shared" si="2"/>
        <v>18700000</v>
      </c>
      <c r="H19" s="32">
        <f t="shared" si="3"/>
        <v>109208000</v>
      </c>
      <c r="I19" s="32">
        <f t="shared" si="4"/>
        <v>5460400</v>
      </c>
      <c r="J19" s="32">
        <f t="shared" si="5"/>
        <v>1092080</v>
      </c>
      <c r="K19" s="32">
        <f t="shared" si="6"/>
        <v>14791257.6</v>
      </c>
      <c r="L19" s="32">
        <f>D12</f>
        <v>7500000</v>
      </c>
      <c r="M19" s="32">
        <f t="shared" si="7"/>
        <v>138051737.59999999</v>
      </c>
      <c r="N19" s="32">
        <f t="shared" si="8"/>
        <v>165662085.12</v>
      </c>
      <c r="O19" s="32">
        <f t="shared" si="9"/>
        <v>4000</v>
      </c>
      <c r="P19" s="32">
        <f t="shared" si="10"/>
        <v>56000000</v>
      </c>
      <c r="Q19" s="32">
        <f t="shared" si="11"/>
        <v>4141552.1279999996</v>
      </c>
      <c r="R19" s="32">
        <f t="shared" si="12"/>
        <v>27610347.52</v>
      </c>
      <c r="S19" s="32">
        <f t="shared" si="13"/>
        <v>48318108.159999996</v>
      </c>
      <c r="T19" s="32">
        <f t="shared" si="14"/>
        <v>466389845.75999999</v>
      </c>
      <c r="U19" s="32">
        <f t="shared" si="15"/>
        <v>93277969.151999995</v>
      </c>
    </row>
    <row r="20" spans="1:21" x14ac:dyDescent="0.3">
      <c r="A20" s="1">
        <v>3</v>
      </c>
      <c r="B20" s="25" t="s">
        <v>61</v>
      </c>
      <c r="C20" s="26">
        <v>70</v>
      </c>
      <c r="D20" s="27">
        <v>6676</v>
      </c>
      <c r="E20" s="28">
        <f t="shared" si="0"/>
        <v>6676</v>
      </c>
      <c r="F20" s="27">
        <f t="shared" si="1"/>
        <v>113492000</v>
      </c>
      <c r="G20" s="27">
        <f t="shared" si="2"/>
        <v>18700000</v>
      </c>
      <c r="H20" s="29">
        <f t="shared" si="3"/>
        <v>132192000</v>
      </c>
      <c r="I20" s="29">
        <f t="shared" si="4"/>
        <v>6609600</v>
      </c>
      <c r="J20" s="29">
        <f t="shared" si="5"/>
        <v>1321920</v>
      </c>
      <c r="K20" s="29">
        <f t="shared" si="6"/>
        <v>17714822.399999999</v>
      </c>
      <c r="L20" s="29">
        <f>D12</f>
        <v>7500000</v>
      </c>
      <c r="M20" s="29">
        <f t="shared" si="7"/>
        <v>165338342.40000001</v>
      </c>
      <c r="N20" s="29">
        <f t="shared" si="8"/>
        <v>198406010.88</v>
      </c>
      <c r="O20" s="29">
        <f t="shared" si="9"/>
        <v>5600.0000000000009</v>
      </c>
      <c r="P20" s="29">
        <f t="shared" si="10"/>
        <v>78400000.000000015</v>
      </c>
      <c r="Q20" s="29">
        <f t="shared" si="11"/>
        <v>4960150.2719999999</v>
      </c>
      <c r="R20" s="29">
        <f t="shared" si="12"/>
        <v>33067668.480000004</v>
      </c>
      <c r="S20" s="29">
        <f t="shared" si="13"/>
        <v>57868419.839999996</v>
      </c>
      <c r="T20" s="29">
        <f t="shared" si="14"/>
        <v>615234762.24000013</v>
      </c>
      <c r="U20" s="29">
        <f t="shared" si="15"/>
        <v>123046952.44800003</v>
      </c>
    </row>
    <row r="21" spans="1:21" x14ac:dyDescent="0.3">
      <c r="A21" s="1">
        <v>4</v>
      </c>
      <c r="B21" s="15" t="s">
        <v>62</v>
      </c>
      <c r="C21" s="8">
        <v>80</v>
      </c>
      <c r="D21" s="30">
        <v>9704</v>
      </c>
      <c r="E21" s="31">
        <f t="shared" si="0"/>
        <v>9704</v>
      </c>
      <c r="F21" s="30">
        <f t="shared" si="1"/>
        <v>164968000</v>
      </c>
      <c r="G21" s="30">
        <f t="shared" si="2"/>
        <v>18700000</v>
      </c>
      <c r="H21" s="32">
        <f t="shared" si="3"/>
        <v>183668000</v>
      </c>
      <c r="I21" s="32">
        <f t="shared" si="4"/>
        <v>9183400</v>
      </c>
      <c r="J21" s="32">
        <f t="shared" si="5"/>
        <v>1836680</v>
      </c>
      <c r="K21" s="32">
        <f t="shared" si="6"/>
        <v>24262569.599999998</v>
      </c>
      <c r="L21" s="32">
        <f>D12</f>
        <v>7500000</v>
      </c>
      <c r="M21" s="32">
        <f t="shared" si="7"/>
        <v>226450649.59999999</v>
      </c>
      <c r="N21" s="32">
        <f t="shared" si="8"/>
        <v>271740779.51999998</v>
      </c>
      <c r="O21" s="32">
        <f t="shared" si="9"/>
        <v>6400</v>
      </c>
      <c r="P21" s="32">
        <f t="shared" si="10"/>
        <v>89600000</v>
      </c>
      <c r="Q21" s="32">
        <f t="shared" si="11"/>
        <v>6793519.4879999999</v>
      </c>
      <c r="R21" s="32">
        <f t="shared" si="12"/>
        <v>45290129.920000002</v>
      </c>
      <c r="S21" s="32">
        <f t="shared" si="13"/>
        <v>79257727.359999999</v>
      </c>
      <c r="T21" s="32">
        <f t="shared" si="14"/>
        <v>753740376.95999992</v>
      </c>
      <c r="U21" s="32">
        <f t="shared" si="15"/>
        <v>150748075.39199999</v>
      </c>
    </row>
    <row r="22" spans="1:21" x14ac:dyDescent="0.3">
      <c r="A22" s="1">
        <v>5</v>
      </c>
      <c r="B22" s="25" t="s">
        <v>63</v>
      </c>
      <c r="C22" s="26">
        <v>90</v>
      </c>
      <c r="D22" s="27">
        <v>10310</v>
      </c>
      <c r="E22" s="28">
        <f t="shared" si="0"/>
        <v>10310</v>
      </c>
      <c r="F22" s="27">
        <f t="shared" si="1"/>
        <v>175270000</v>
      </c>
      <c r="G22" s="27">
        <f t="shared" si="2"/>
        <v>18700000</v>
      </c>
      <c r="H22" s="29">
        <f t="shared" si="3"/>
        <v>193970000</v>
      </c>
      <c r="I22" s="29">
        <f t="shared" si="4"/>
        <v>9698500</v>
      </c>
      <c r="J22" s="29">
        <f t="shared" si="5"/>
        <v>1939700</v>
      </c>
      <c r="K22" s="29">
        <f t="shared" si="6"/>
        <v>25572984</v>
      </c>
      <c r="L22" s="29">
        <f>D12</f>
        <v>7500000</v>
      </c>
      <c r="M22" s="29">
        <f t="shared" si="7"/>
        <v>238681184</v>
      </c>
      <c r="N22" s="29">
        <f t="shared" si="8"/>
        <v>286417420.80000001</v>
      </c>
      <c r="O22" s="29">
        <f t="shared" si="9"/>
        <v>7200</v>
      </c>
      <c r="P22" s="29">
        <f t="shared" si="10"/>
        <v>100800000</v>
      </c>
      <c r="Q22" s="29">
        <f t="shared" si="11"/>
        <v>7160435.5199999996</v>
      </c>
      <c r="R22" s="29">
        <f t="shared" si="12"/>
        <v>47736236.800000004</v>
      </c>
      <c r="S22" s="29">
        <f t="shared" si="13"/>
        <v>83538414.399999991</v>
      </c>
      <c r="T22" s="29">
        <f t="shared" si="14"/>
        <v>826255598.39999998</v>
      </c>
      <c r="U22" s="29">
        <f t="shared" si="15"/>
        <v>165251119.68000001</v>
      </c>
    </row>
    <row r="23" spans="1:21" x14ac:dyDescent="0.3">
      <c r="A23" s="1">
        <v>6</v>
      </c>
      <c r="B23" s="15" t="s">
        <v>64</v>
      </c>
      <c r="C23" s="8">
        <v>100</v>
      </c>
      <c r="D23" s="30">
        <v>10408</v>
      </c>
      <c r="E23" s="31">
        <f t="shared" si="0"/>
        <v>10408</v>
      </c>
      <c r="F23" s="30">
        <f t="shared" si="1"/>
        <v>176936000</v>
      </c>
      <c r="G23" s="30">
        <f t="shared" si="2"/>
        <v>18700000</v>
      </c>
      <c r="H23" s="32">
        <f t="shared" si="3"/>
        <v>195636000</v>
      </c>
      <c r="I23" s="32">
        <f t="shared" si="4"/>
        <v>9781800</v>
      </c>
      <c r="J23" s="32">
        <f t="shared" si="5"/>
        <v>1956360</v>
      </c>
      <c r="K23" s="32">
        <f t="shared" si="6"/>
        <v>25784899.199999999</v>
      </c>
      <c r="L23" s="32">
        <f>D12</f>
        <v>7500000</v>
      </c>
      <c r="M23" s="32">
        <f t="shared" si="7"/>
        <v>240659059.19999999</v>
      </c>
      <c r="N23" s="32">
        <f t="shared" si="8"/>
        <v>288790871.03999996</v>
      </c>
      <c r="O23" s="32">
        <f t="shared" si="9"/>
        <v>8000</v>
      </c>
      <c r="P23" s="32">
        <f t="shared" si="10"/>
        <v>112000000</v>
      </c>
      <c r="Q23" s="32">
        <f t="shared" si="11"/>
        <v>7219771.7759999996</v>
      </c>
      <c r="R23" s="32">
        <f t="shared" si="12"/>
        <v>48131811.840000004</v>
      </c>
      <c r="S23" s="32">
        <f t="shared" si="13"/>
        <v>84230670.719999984</v>
      </c>
      <c r="T23" s="32">
        <f t="shared" si="14"/>
        <v>884929729.91999996</v>
      </c>
      <c r="U23" s="32">
        <f t="shared" si="15"/>
        <v>176985945.984</v>
      </c>
    </row>
    <row r="24" spans="1:21" x14ac:dyDescent="0.3">
      <c r="A24" s="1">
        <v>7</v>
      </c>
      <c r="B24" s="25" t="s">
        <v>65</v>
      </c>
      <c r="C24" s="26">
        <v>110</v>
      </c>
      <c r="D24" s="27">
        <v>17211</v>
      </c>
      <c r="E24" s="28">
        <f t="shared" si="0"/>
        <v>17211</v>
      </c>
      <c r="F24" s="27">
        <f t="shared" si="1"/>
        <v>292587000</v>
      </c>
      <c r="G24" s="27">
        <f t="shared" si="2"/>
        <v>18700000</v>
      </c>
      <c r="H24" s="29">
        <f t="shared" si="3"/>
        <v>311287000</v>
      </c>
      <c r="I24" s="29">
        <f t="shared" si="4"/>
        <v>15564350</v>
      </c>
      <c r="J24" s="29">
        <f t="shared" si="5"/>
        <v>3112870</v>
      </c>
      <c r="K24" s="29">
        <f t="shared" si="6"/>
        <v>40495706.399999999</v>
      </c>
      <c r="L24" s="29">
        <f>D12</f>
        <v>7500000</v>
      </c>
      <c r="M24" s="29">
        <f t="shared" si="7"/>
        <v>377959926.39999998</v>
      </c>
      <c r="N24" s="29">
        <f t="shared" si="8"/>
        <v>453551911.67999995</v>
      </c>
      <c r="O24" s="29">
        <f t="shared" si="9"/>
        <v>8800</v>
      </c>
      <c r="P24" s="29">
        <f t="shared" si="10"/>
        <v>123200000</v>
      </c>
      <c r="Q24" s="29">
        <f t="shared" si="11"/>
        <v>11338797.791999999</v>
      </c>
      <c r="R24" s="29">
        <f t="shared" si="12"/>
        <v>75591985.280000001</v>
      </c>
      <c r="S24" s="29">
        <f t="shared" si="13"/>
        <v>132285974.23999998</v>
      </c>
      <c r="T24" s="29">
        <f t="shared" si="14"/>
        <v>1126289900.6400001</v>
      </c>
      <c r="U24" s="29">
        <f t="shared" si="15"/>
        <v>225257980.12800002</v>
      </c>
    </row>
    <row r="25" spans="1:21" x14ac:dyDescent="0.3">
      <c r="A25" s="1">
        <v>8</v>
      </c>
      <c r="B25" s="15" t="s">
        <v>66</v>
      </c>
      <c r="C25" s="8">
        <v>120</v>
      </c>
      <c r="D25" s="30">
        <v>17606</v>
      </c>
      <c r="E25" s="31">
        <f t="shared" si="0"/>
        <v>17606</v>
      </c>
      <c r="F25" s="30">
        <f t="shared" si="1"/>
        <v>299302000</v>
      </c>
      <c r="G25" s="30">
        <f t="shared" si="2"/>
        <v>18700000</v>
      </c>
      <c r="H25" s="32">
        <f t="shared" si="3"/>
        <v>318002000</v>
      </c>
      <c r="I25" s="32">
        <f t="shared" si="4"/>
        <v>15900100</v>
      </c>
      <c r="J25" s="32">
        <f t="shared" si="5"/>
        <v>3180020</v>
      </c>
      <c r="K25" s="32">
        <f t="shared" si="6"/>
        <v>41349854.399999999</v>
      </c>
      <c r="L25" s="32">
        <f>D12</f>
        <v>7500000</v>
      </c>
      <c r="M25" s="32">
        <f t="shared" si="7"/>
        <v>385931974.39999998</v>
      </c>
      <c r="N25" s="32">
        <f t="shared" si="8"/>
        <v>463118369.27999997</v>
      </c>
      <c r="O25" s="32">
        <f t="shared" si="9"/>
        <v>9600</v>
      </c>
      <c r="P25" s="32">
        <f t="shared" si="10"/>
        <v>134400000</v>
      </c>
      <c r="Q25" s="32">
        <f t="shared" si="11"/>
        <v>11577959.231999999</v>
      </c>
      <c r="R25" s="32">
        <f t="shared" si="12"/>
        <v>77186394.879999995</v>
      </c>
      <c r="S25" s="32">
        <f t="shared" si="13"/>
        <v>135076191.03999999</v>
      </c>
      <c r="T25" s="32">
        <f t="shared" si="14"/>
        <v>1193056165.4400001</v>
      </c>
      <c r="U25" s="32">
        <f t="shared" si="15"/>
        <v>238611233.088</v>
      </c>
    </row>
    <row r="29" spans="1:21" x14ac:dyDescent="0.3">
      <c r="B29" s="2" t="s">
        <v>67</v>
      </c>
      <c r="C29" s="2"/>
      <c r="D29" s="2"/>
      <c r="E29" s="2"/>
    </row>
    <row r="30" spans="1:21" x14ac:dyDescent="0.3">
      <c r="B30" s="33" t="s">
        <v>1</v>
      </c>
      <c r="C30" s="33" t="s">
        <v>2</v>
      </c>
      <c r="D30" s="33" t="s">
        <v>3</v>
      </c>
      <c r="E30" s="34" t="s">
        <v>4</v>
      </c>
    </row>
    <row r="31" spans="1:21" x14ac:dyDescent="0.3">
      <c r="B31" s="7" t="s">
        <v>5</v>
      </c>
      <c r="C31" s="8" t="s">
        <v>6</v>
      </c>
      <c r="D31" s="9">
        <v>17000</v>
      </c>
      <c r="E31" s="10" t="s">
        <v>7</v>
      </c>
    </row>
    <row r="32" spans="1:21" x14ac:dyDescent="0.3">
      <c r="B32" s="7" t="s">
        <v>8</v>
      </c>
      <c r="C32" s="8" t="s">
        <v>9</v>
      </c>
      <c r="D32" s="9">
        <v>14000</v>
      </c>
      <c r="E32" s="10" t="s">
        <v>10</v>
      </c>
    </row>
    <row r="33" spans="1:21" x14ac:dyDescent="0.3">
      <c r="B33" s="7" t="s">
        <v>11</v>
      </c>
      <c r="C33" s="8" t="s">
        <v>12</v>
      </c>
      <c r="D33" s="9">
        <v>1000</v>
      </c>
      <c r="E33" s="10" t="s">
        <v>13</v>
      </c>
    </row>
    <row r="34" spans="1:21" x14ac:dyDescent="0.3">
      <c r="B34" s="7" t="s">
        <v>14</v>
      </c>
      <c r="C34" s="8" t="s">
        <v>15</v>
      </c>
      <c r="D34" s="35">
        <v>0.08</v>
      </c>
      <c r="E34" s="10" t="s">
        <v>13</v>
      </c>
    </row>
    <row r="35" spans="1:21" x14ac:dyDescent="0.3">
      <c r="B35" s="7" t="s">
        <v>16</v>
      </c>
      <c r="C35" s="8" t="s">
        <v>17</v>
      </c>
      <c r="D35" s="35">
        <v>0</v>
      </c>
      <c r="E35" s="12" t="s">
        <v>18</v>
      </c>
    </row>
    <row r="36" spans="1:21" x14ac:dyDescent="0.3">
      <c r="B36" s="7" t="s">
        <v>19</v>
      </c>
      <c r="C36" s="8" t="s">
        <v>20</v>
      </c>
      <c r="D36" s="36">
        <v>1100</v>
      </c>
      <c r="E36" s="10" t="s">
        <v>13</v>
      </c>
    </row>
    <row r="37" spans="1:21" x14ac:dyDescent="0.3">
      <c r="B37" s="7" t="s">
        <v>21</v>
      </c>
      <c r="C37" s="8" t="s">
        <v>22</v>
      </c>
      <c r="D37" s="35">
        <v>0.05</v>
      </c>
      <c r="E37" s="12" t="s">
        <v>18</v>
      </c>
    </row>
    <row r="38" spans="1:21" x14ac:dyDescent="0.3">
      <c r="B38" s="7" t="s">
        <v>23</v>
      </c>
      <c r="C38" s="8" t="s">
        <v>24</v>
      </c>
      <c r="D38" s="35">
        <v>0.01</v>
      </c>
      <c r="E38" s="12" t="s">
        <v>25</v>
      </c>
    </row>
    <row r="39" spans="1:21" x14ac:dyDescent="0.3">
      <c r="B39" s="7" t="s">
        <v>26</v>
      </c>
      <c r="C39" s="8" t="s">
        <v>27</v>
      </c>
      <c r="D39" s="35">
        <v>0.12</v>
      </c>
      <c r="E39" s="13">
        <v>0.12</v>
      </c>
    </row>
    <row r="40" spans="1:21" x14ac:dyDescent="0.3">
      <c r="B40" s="7" t="s">
        <v>28</v>
      </c>
      <c r="C40" s="8" t="s">
        <v>29</v>
      </c>
      <c r="D40" s="9">
        <v>7500000</v>
      </c>
      <c r="E40" s="10"/>
    </row>
    <row r="41" spans="1:21" s="17" customFormat="1" ht="28.5" customHeight="1" x14ac:dyDescent="0.3">
      <c r="A41" s="1"/>
      <c r="B41" s="14" t="s">
        <v>30</v>
      </c>
      <c r="C41" s="8" t="s">
        <v>31</v>
      </c>
      <c r="D41" s="37">
        <v>0.03</v>
      </c>
      <c r="E41" s="10" t="s">
        <v>32</v>
      </c>
    </row>
    <row r="42" spans="1:21" s="17" customFormat="1" ht="28.5" customHeight="1" x14ac:dyDescent="0.3">
      <c r="A42" s="1"/>
      <c r="B42" s="14" t="s">
        <v>33</v>
      </c>
      <c r="C42" s="8" t="s">
        <v>34</v>
      </c>
      <c r="D42" s="37">
        <v>0.2</v>
      </c>
      <c r="E42" s="10" t="s">
        <v>35</v>
      </c>
    </row>
    <row r="43" spans="1:21" s="17" customFormat="1" x14ac:dyDescent="0.3">
      <c r="A43" s="1"/>
      <c r="B43" s="14" t="s">
        <v>36</v>
      </c>
      <c r="C43" s="8" t="s">
        <v>37</v>
      </c>
      <c r="D43" s="37">
        <v>0.35</v>
      </c>
      <c r="E43" s="10" t="s">
        <v>38</v>
      </c>
    </row>
    <row r="44" spans="1:21" x14ac:dyDescent="0.3">
      <c r="N44" s="38">
        <v>0.2</v>
      </c>
    </row>
    <row r="45" spans="1:21" s="6" customFormat="1" x14ac:dyDescent="0.3">
      <c r="A45" s="1"/>
      <c r="B45" s="4" t="s">
        <v>40</v>
      </c>
      <c r="C45" s="4" t="s">
        <v>41</v>
      </c>
      <c r="D45" s="4" t="s">
        <v>42</v>
      </c>
      <c r="E45" s="5" t="s">
        <v>43</v>
      </c>
      <c r="F45" s="39" t="s">
        <v>44</v>
      </c>
      <c r="G45" s="4" t="s">
        <v>45</v>
      </c>
      <c r="H45" s="4" t="s">
        <v>46</v>
      </c>
      <c r="I45" s="4" t="s">
        <v>47</v>
      </c>
      <c r="J45" s="4" t="s">
        <v>48</v>
      </c>
      <c r="K45" s="4" t="s">
        <v>49</v>
      </c>
      <c r="L45" s="4" t="s">
        <v>28</v>
      </c>
      <c r="M45" s="39" t="s">
        <v>50</v>
      </c>
      <c r="N45" s="40" t="s">
        <v>51</v>
      </c>
      <c r="O45" s="4" t="s">
        <v>52</v>
      </c>
      <c r="P45" s="4" t="s">
        <v>53</v>
      </c>
      <c r="Q45" s="4" t="s">
        <v>54</v>
      </c>
      <c r="R45" s="4" t="s">
        <v>55</v>
      </c>
      <c r="S45" s="4" t="s">
        <v>56</v>
      </c>
      <c r="T45" s="4" t="s">
        <v>57</v>
      </c>
      <c r="U45" s="4" t="s">
        <v>58</v>
      </c>
    </row>
    <row r="46" spans="1:21" x14ac:dyDescent="0.3">
      <c r="A46" s="1">
        <v>1</v>
      </c>
      <c r="B46" s="41" t="s">
        <v>68</v>
      </c>
      <c r="C46" s="8">
        <v>88</v>
      </c>
      <c r="D46" s="7">
        <v>14980</v>
      </c>
      <c r="E46" s="42">
        <f>D46*(1-$D$35)</f>
        <v>14980</v>
      </c>
      <c r="F46" s="30">
        <f>E46*$D$31</f>
        <v>254660000</v>
      </c>
      <c r="G46" s="30">
        <f>$D$36*$D$31</f>
        <v>18700000</v>
      </c>
      <c r="H46" s="32">
        <f>F46+G46</f>
        <v>273360000</v>
      </c>
      <c r="I46" s="30">
        <f>H46*$D$37</f>
        <v>13668000</v>
      </c>
      <c r="J46" s="30">
        <f>H46*$D$38</f>
        <v>2733600</v>
      </c>
      <c r="K46" s="30">
        <f>(H46+I46+J46+L46)*$D$39</f>
        <v>35671392</v>
      </c>
      <c r="L46" s="9">
        <f>D40</f>
        <v>7500000</v>
      </c>
      <c r="M46" s="32">
        <f>H46+I46+J46+K46+L46</f>
        <v>332932992</v>
      </c>
      <c r="N46" s="32">
        <f>(M46*$N$44)+M46</f>
        <v>399519590.39999998</v>
      </c>
      <c r="O46" s="30">
        <f>C46*$D$33*$D$34</f>
        <v>7040</v>
      </c>
      <c r="P46" s="30">
        <f>O46*$D$32</f>
        <v>98560000</v>
      </c>
      <c r="Q46" s="30">
        <f>M46*$D$41</f>
        <v>9987989.7599999998</v>
      </c>
      <c r="R46" s="30">
        <f>M46*$D$42</f>
        <v>66586598.400000006</v>
      </c>
      <c r="S46" s="30">
        <f>M46*$D$43</f>
        <v>116526547.19999999</v>
      </c>
      <c r="T46" s="32">
        <f>M46 + (O46*5 + P46*5 + Q46*5) + R46</f>
        <v>942294739.19999993</v>
      </c>
      <c r="U46" s="32">
        <f>T46/5</f>
        <v>188458947.83999997</v>
      </c>
    </row>
    <row r="47" spans="1:21" x14ac:dyDescent="0.3">
      <c r="A47" s="1">
        <v>2</v>
      </c>
      <c r="B47" s="43" t="s">
        <v>69</v>
      </c>
      <c r="C47" s="26">
        <v>110</v>
      </c>
      <c r="D47" s="43">
        <v>17500</v>
      </c>
      <c r="E47" s="44">
        <f>D47*(1-$D$35)</f>
        <v>17500</v>
      </c>
      <c r="F47" s="27">
        <f>E47*$D$31</f>
        <v>297500000</v>
      </c>
      <c r="G47" s="27">
        <f>$D$36*$D$31</f>
        <v>18700000</v>
      </c>
      <c r="H47" s="29">
        <f>F47+G47</f>
        <v>316200000</v>
      </c>
      <c r="I47" s="27">
        <f>H47*$D$37</f>
        <v>15810000</v>
      </c>
      <c r="J47" s="27">
        <f>H47*$D$38</f>
        <v>3162000</v>
      </c>
      <c r="K47" s="27">
        <f>(H47+I47+J47+L47)*$D$39</f>
        <v>41120640</v>
      </c>
      <c r="L47" s="45">
        <f>D40</f>
        <v>7500000</v>
      </c>
      <c r="M47" s="29">
        <f>H47+I47+J47+K47+L47</f>
        <v>383792640</v>
      </c>
      <c r="N47" s="29">
        <f>(M47*$N$44)+M47</f>
        <v>460551168</v>
      </c>
      <c r="O47" s="27">
        <f>C47*$D$33*$D$34</f>
        <v>8800</v>
      </c>
      <c r="P47" s="27">
        <f>O47*$D$32</f>
        <v>123200000</v>
      </c>
      <c r="Q47" s="27">
        <f>M47*$D$41</f>
        <v>11513779.199999999</v>
      </c>
      <c r="R47" s="27">
        <f>M47*$D$42</f>
        <v>76758528</v>
      </c>
      <c r="S47" s="27">
        <f>M47*$D$43</f>
        <v>134327424</v>
      </c>
      <c r="T47" s="29">
        <f>M47 + (O47*5 + P47*5 + Q47*5) + R47</f>
        <v>1134164064</v>
      </c>
      <c r="U47" s="29">
        <f>T47/5</f>
        <v>226832812.80000001</v>
      </c>
    </row>
    <row r="48" spans="1:21" x14ac:dyDescent="0.3">
      <c r="A48" s="1">
        <v>3</v>
      </c>
      <c r="B48" s="7" t="s">
        <v>70</v>
      </c>
      <c r="C48" s="8">
        <v>110</v>
      </c>
      <c r="D48" s="7">
        <v>17600</v>
      </c>
      <c r="E48" s="42">
        <f>D48*(1-$D$35)</f>
        <v>17600</v>
      </c>
      <c r="F48" s="30">
        <f>E48*$D$31</f>
        <v>299200000</v>
      </c>
      <c r="G48" s="30">
        <f>$D$36*$D$31</f>
        <v>18700000</v>
      </c>
      <c r="H48" s="32">
        <f>F48+G48</f>
        <v>317900000</v>
      </c>
      <c r="I48" s="30">
        <f>H48*$D$37</f>
        <v>15895000</v>
      </c>
      <c r="J48" s="30">
        <f>H48*$D$38</f>
        <v>3179000</v>
      </c>
      <c r="K48" s="30">
        <f>(H48+I48+J48+L48)*$D$39</f>
        <v>41336880</v>
      </c>
      <c r="L48" s="9">
        <f>D40</f>
        <v>7500000</v>
      </c>
      <c r="M48" s="32">
        <f>H48+I48+J48+K48+L48</f>
        <v>385810880</v>
      </c>
      <c r="N48" s="32">
        <f>(M48*$N$44)+M48</f>
        <v>462973056</v>
      </c>
      <c r="O48" s="30">
        <f>C48*$D$33*$D$34</f>
        <v>8800</v>
      </c>
      <c r="P48" s="30">
        <f>O48*$D$32</f>
        <v>123200000</v>
      </c>
      <c r="Q48" s="30">
        <f>M48*$D$41</f>
        <v>11574326.4</v>
      </c>
      <c r="R48" s="30">
        <f>M48*$D$42</f>
        <v>77162176</v>
      </c>
      <c r="S48" s="30">
        <f>M48*$D$43</f>
        <v>135033808</v>
      </c>
      <c r="T48" s="32">
        <f>M48 + (O48*5 + P48*5 + Q48*5) + R48</f>
        <v>1136888688</v>
      </c>
      <c r="U48" s="32">
        <f>T48/5</f>
        <v>227377737.59999999</v>
      </c>
    </row>
    <row r="49" spans="1:21" x14ac:dyDescent="0.3">
      <c r="A49" s="1">
        <v>4</v>
      </c>
      <c r="B49" s="46" t="s">
        <v>70</v>
      </c>
      <c r="C49" s="47">
        <v>120</v>
      </c>
      <c r="D49" s="46">
        <v>18900</v>
      </c>
      <c r="E49" s="48">
        <f>D49*(1-$D$35)</f>
        <v>18900</v>
      </c>
      <c r="F49" s="49">
        <f>E49*$D$31</f>
        <v>321300000</v>
      </c>
      <c r="G49" s="49">
        <f>$D$36*$D$31</f>
        <v>18700000</v>
      </c>
      <c r="H49" s="50">
        <f>F49+G49</f>
        <v>340000000</v>
      </c>
      <c r="I49" s="49">
        <f>H49*$D$37</f>
        <v>17000000</v>
      </c>
      <c r="J49" s="49">
        <f>H49*$D$38</f>
        <v>3400000</v>
      </c>
      <c r="K49" s="49">
        <f>(H49+I49+J49+L49)*$D$39</f>
        <v>44148000</v>
      </c>
      <c r="L49" s="51">
        <f>D40</f>
        <v>7500000</v>
      </c>
      <c r="M49" s="50">
        <f>H49+I49+J49+K49+L49</f>
        <v>412048000</v>
      </c>
      <c r="N49" s="50">
        <f>(M49*$N$44)+M49</f>
        <v>494457600</v>
      </c>
      <c r="O49" s="49">
        <f>C49*$D$33*$D$34</f>
        <v>9600</v>
      </c>
      <c r="P49" s="49">
        <f>O49*$D$32</f>
        <v>134400000</v>
      </c>
      <c r="Q49" s="49">
        <f>M49*$D$41</f>
        <v>12361440</v>
      </c>
      <c r="R49" s="49">
        <f>M49*$D$42</f>
        <v>82409600</v>
      </c>
      <c r="S49" s="49">
        <f>M49*$D$43</f>
        <v>144216800</v>
      </c>
      <c r="T49" s="50">
        <f>M49 + (O49*5 + P49*5 + Q49*5) + R49</f>
        <v>1228312800</v>
      </c>
      <c r="U49" s="50">
        <f>T49/5</f>
        <v>245662560</v>
      </c>
    </row>
    <row r="50" spans="1:21" x14ac:dyDescent="0.3">
      <c r="E50" s="52"/>
      <c r="F50" s="53"/>
      <c r="G50" s="53"/>
      <c r="H50" s="19"/>
      <c r="I50" s="53"/>
      <c r="J50" s="53"/>
      <c r="K50" s="53"/>
      <c r="L50" s="54"/>
      <c r="M50" s="19"/>
      <c r="N50" s="19"/>
      <c r="O50" s="53"/>
      <c r="P50" s="53"/>
      <c r="Q50" s="53"/>
      <c r="R50" s="53"/>
      <c r="S50" s="53"/>
      <c r="T50" s="19"/>
      <c r="U50" s="19"/>
    </row>
    <row r="51" spans="1:21" x14ac:dyDescent="0.3">
      <c r="E51" s="52"/>
      <c r="F51" s="53"/>
      <c r="G51" s="53"/>
      <c r="H51" s="19"/>
      <c r="I51" s="53"/>
      <c r="J51" s="53"/>
      <c r="K51" s="53"/>
      <c r="L51" s="54"/>
      <c r="M51" s="19"/>
      <c r="N51" s="19"/>
      <c r="O51" s="53"/>
      <c r="P51" s="53"/>
      <c r="Q51" s="53"/>
      <c r="R51" s="53"/>
      <c r="S51" s="53"/>
      <c r="T51" s="19"/>
      <c r="U51" s="19"/>
    </row>
    <row r="52" spans="1:21" x14ac:dyDescent="0.3">
      <c r="E52" s="52"/>
      <c r="F52" s="53"/>
      <c r="G52" s="53"/>
      <c r="H52" s="19"/>
      <c r="I52" s="53"/>
      <c r="J52" s="53"/>
      <c r="K52" s="53"/>
      <c r="L52" s="54"/>
      <c r="M52" s="19"/>
      <c r="N52" s="53"/>
      <c r="O52" s="53"/>
      <c r="P52" s="53"/>
      <c r="Q52" s="53"/>
      <c r="R52" s="53"/>
      <c r="S52" s="19"/>
      <c r="T52" s="19"/>
      <c r="U52" s="19"/>
    </row>
    <row r="53" spans="1:21" ht="14.25" customHeight="1" x14ac:dyDescent="0.3">
      <c r="B53" s="55" t="s">
        <v>71</v>
      </c>
      <c r="C53" s="55"/>
      <c r="D53" s="55"/>
      <c r="E53" s="55"/>
      <c r="F53" s="56"/>
    </row>
    <row r="54" spans="1:21" ht="42.75" customHeight="1" x14ac:dyDescent="0.3">
      <c r="B54" s="5" t="s">
        <v>72</v>
      </c>
      <c r="C54" s="5" t="s">
        <v>40</v>
      </c>
      <c r="D54" s="39" t="s">
        <v>50</v>
      </c>
      <c r="E54" s="23" t="s">
        <v>51</v>
      </c>
      <c r="F54" s="5" t="s">
        <v>73</v>
      </c>
      <c r="G54" s="5" t="s">
        <v>74</v>
      </c>
      <c r="H54" s="5" t="s">
        <v>75</v>
      </c>
      <c r="I54" s="5" t="s">
        <v>76</v>
      </c>
      <c r="J54" s="5" t="s">
        <v>77</v>
      </c>
      <c r="K54" s="5" t="s">
        <v>78</v>
      </c>
      <c r="L54" s="5" t="s">
        <v>79</v>
      </c>
      <c r="M54" s="5" t="s">
        <v>80</v>
      </c>
    </row>
    <row r="55" spans="1:21" s="6" customFormat="1" x14ac:dyDescent="0.3">
      <c r="A55" s="1">
        <v>1</v>
      </c>
      <c r="B55" s="15">
        <v>30284</v>
      </c>
      <c r="C55" s="57" t="s">
        <v>81</v>
      </c>
      <c r="D55" s="58">
        <f>B55*$C$64*$C$66</f>
        <v>98423000</v>
      </c>
      <c r="E55" s="58">
        <f>D55*$C$67</f>
        <v>127949900</v>
      </c>
      <c r="F55" s="59" t="s">
        <v>82</v>
      </c>
      <c r="G55" s="59">
        <v>400</v>
      </c>
      <c r="H55" s="59">
        <v>2000000</v>
      </c>
      <c r="I55" s="59">
        <f>26800*2200*0.05</f>
        <v>2948000</v>
      </c>
      <c r="J55" s="59">
        <v>30000000</v>
      </c>
      <c r="K55" s="59">
        <v>15000000</v>
      </c>
      <c r="L55" s="59">
        <f>(2000000+26800*2200*0.05+30000000)*5+15000000</f>
        <v>189740000</v>
      </c>
      <c r="M55" s="59">
        <f>26800*2200+(2000000+26800*2200*0.05+30000000)*5+15000000</f>
        <v>248700000</v>
      </c>
    </row>
    <row r="56" spans="1:21" s="6" customFormat="1" x14ac:dyDescent="0.3">
      <c r="A56" s="1">
        <v>2</v>
      </c>
      <c r="B56" s="15">
        <v>22374</v>
      </c>
      <c r="C56" s="57" t="s">
        <v>83</v>
      </c>
      <c r="D56" s="58">
        <f>B56*$C$64*$C$66</f>
        <v>72715500</v>
      </c>
      <c r="E56" s="58">
        <f>D56*$C$67</f>
        <v>94530150</v>
      </c>
      <c r="F56" s="59" t="s">
        <v>84</v>
      </c>
      <c r="G56" s="59">
        <v>400</v>
      </c>
      <c r="H56" s="59">
        <f>3*400*6800</f>
        <v>8160000</v>
      </c>
      <c r="I56" s="59">
        <f>19800*2200*0.05</f>
        <v>2178000</v>
      </c>
      <c r="J56" s="59">
        <v>30000000</v>
      </c>
      <c r="K56" s="59">
        <v>0</v>
      </c>
      <c r="L56" s="59">
        <f>(3*400*6800+19800*2200*0.05+30000000)*5+0</f>
        <v>201690000</v>
      </c>
      <c r="M56" s="59">
        <f>19800*2200+(3*400*6800+19800*2200*0.05+30000000)*5+0</f>
        <v>245250000</v>
      </c>
    </row>
    <row r="57" spans="1:21" s="6" customFormat="1" x14ac:dyDescent="0.3">
      <c r="A57" s="1">
        <v>3</v>
      </c>
      <c r="B57" s="15">
        <v>25764</v>
      </c>
      <c r="C57" s="57" t="s">
        <v>85</v>
      </c>
      <c r="D57" s="58">
        <f>B57*$C$64*$C$66</f>
        <v>83733000</v>
      </c>
      <c r="E57" s="58">
        <f>D57*$C$67</f>
        <v>108852900</v>
      </c>
      <c r="F57" s="59" t="s">
        <v>86</v>
      </c>
      <c r="G57" s="59">
        <v>400</v>
      </c>
      <c r="H57" s="59">
        <f>4*400*6800</f>
        <v>10880000</v>
      </c>
      <c r="I57" s="59">
        <f>22800*2200*0.05</f>
        <v>2508000</v>
      </c>
      <c r="J57" s="59">
        <v>30000000</v>
      </c>
      <c r="K57" s="59">
        <v>0</v>
      </c>
      <c r="L57" s="59">
        <f>(4*400*6800+22800*2200*0.05+30000000)*5+0</f>
        <v>216940000</v>
      </c>
      <c r="M57" s="59">
        <f>22800*2200+(4*400*6800+22800*2200*0.05+30000000)*5+0</f>
        <v>267100000</v>
      </c>
    </row>
    <row r="58" spans="1:21" x14ac:dyDescent="0.3">
      <c r="E58" s="52"/>
      <c r="F58" s="53"/>
      <c r="G58" s="53"/>
      <c r="H58" s="19"/>
      <c r="I58" s="53"/>
      <c r="J58" s="53"/>
      <c r="K58" s="53"/>
      <c r="L58" s="54"/>
      <c r="M58" s="19"/>
      <c r="N58" s="53"/>
      <c r="O58" s="53"/>
      <c r="P58" s="53"/>
      <c r="Q58" s="53"/>
      <c r="R58" s="53"/>
      <c r="S58" s="19"/>
      <c r="T58" s="19"/>
      <c r="U58" s="19"/>
    </row>
    <row r="61" spans="1:21" ht="28.5" customHeight="1" x14ac:dyDescent="0.3">
      <c r="B61" s="60" t="s">
        <v>87</v>
      </c>
      <c r="C61" s="61" t="s">
        <v>88</v>
      </c>
      <c r="D61" s="61"/>
    </row>
    <row r="62" spans="1:21" x14ac:dyDescent="0.3">
      <c r="B62" s="62" t="s">
        <v>89</v>
      </c>
      <c r="C62" s="60"/>
      <c r="D62" s="63" t="s">
        <v>90</v>
      </c>
    </row>
    <row r="63" spans="1:21" x14ac:dyDescent="0.3">
      <c r="B63" s="60" t="s">
        <v>91</v>
      </c>
      <c r="C63" s="31">
        <v>17000</v>
      </c>
      <c r="D63" s="31">
        <f>C63</f>
        <v>17000</v>
      </c>
    </row>
    <row r="64" spans="1:21" x14ac:dyDescent="0.3">
      <c r="B64" s="60" t="s">
        <v>92</v>
      </c>
      <c r="C64" s="31">
        <v>2500</v>
      </c>
      <c r="D64" s="31">
        <f>C64</f>
        <v>2500</v>
      </c>
    </row>
    <row r="65" spans="1:5" x14ac:dyDescent="0.3">
      <c r="B65" s="60" t="s">
        <v>93</v>
      </c>
      <c r="C65" s="31">
        <v>14000</v>
      </c>
      <c r="D65" s="31">
        <f>C65</f>
        <v>14000</v>
      </c>
    </row>
    <row r="66" spans="1:5" x14ac:dyDescent="0.3">
      <c r="B66" s="60" t="s">
        <v>94</v>
      </c>
      <c r="C66" s="64">
        <v>1.3</v>
      </c>
      <c r="D66" s="65">
        <v>1.6</v>
      </c>
    </row>
    <row r="67" spans="1:5" x14ac:dyDescent="0.3">
      <c r="B67" s="60" t="s">
        <v>95</v>
      </c>
      <c r="C67" s="64">
        <v>1.3</v>
      </c>
      <c r="D67" s="65"/>
    </row>
    <row r="71" spans="1:5" ht="14.25" customHeight="1" x14ac:dyDescent="0.3">
      <c r="B71" s="66" t="s">
        <v>96</v>
      </c>
      <c r="C71" s="66"/>
      <c r="D71" s="66"/>
      <c r="E71" s="66"/>
    </row>
    <row r="72" spans="1:5" ht="29.25" customHeight="1" x14ac:dyDescent="0.3">
      <c r="B72" s="5" t="s">
        <v>72</v>
      </c>
      <c r="C72" s="5" t="s">
        <v>97</v>
      </c>
      <c r="D72" s="39" t="s">
        <v>50</v>
      </c>
      <c r="E72" s="23" t="s">
        <v>51</v>
      </c>
    </row>
    <row r="73" spans="1:5" x14ac:dyDescent="0.3">
      <c r="A73" s="1">
        <v>1</v>
      </c>
      <c r="B73" s="57">
        <v>9157</v>
      </c>
      <c r="C73" s="67" t="s">
        <v>98</v>
      </c>
      <c r="D73" s="68">
        <f t="shared" ref="D73:D136" si="16">B73*$D$63*$C$66</f>
        <v>202369700</v>
      </c>
      <c r="E73" s="69">
        <f t="shared" ref="E73:E136" si="17">(B73*$D$63*$D$66)-7500000</f>
        <v>241570400</v>
      </c>
    </row>
    <row r="74" spans="1:5" x14ac:dyDescent="0.3">
      <c r="A74" s="1">
        <v>2</v>
      </c>
      <c r="B74" s="57">
        <v>7757</v>
      </c>
      <c r="C74" s="67" t="s">
        <v>99</v>
      </c>
      <c r="D74" s="68">
        <f t="shared" si="16"/>
        <v>171429700</v>
      </c>
      <c r="E74" s="69">
        <f t="shared" si="17"/>
        <v>203490400</v>
      </c>
    </row>
    <row r="75" spans="1:5" x14ac:dyDescent="0.3">
      <c r="A75" s="1">
        <v>3</v>
      </c>
      <c r="B75" s="57">
        <v>9686</v>
      </c>
      <c r="C75" s="67" t="s">
        <v>100</v>
      </c>
      <c r="D75" s="68">
        <f t="shared" si="16"/>
        <v>214060600</v>
      </c>
      <c r="E75" s="69">
        <f t="shared" si="17"/>
        <v>255959200</v>
      </c>
    </row>
    <row r="76" spans="1:5" x14ac:dyDescent="0.3">
      <c r="A76" s="1">
        <v>4</v>
      </c>
      <c r="B76" s="57">
        <v>9257</v>
      </c>
      <c r="C76" s="67" t="s">
        <v>101</v>
      </c>
      <c r="D76" s="68">
        <f t="shared" si="16"/>
        <v>204579700</v>
      </c>
      <c r="E76" s="69">
        <f t="shared" si="17"/>
        <v>244290400</v>
      </c>
    </row>
    <row r="77" spans="1:5" x14ac:dyDescent="0.3">
      <c r="A77" s="1">
        <v>5</v>
      </c>
      <c r="B77" s="57">
        <v>7571</v>
      </c>
      <c r="C77" s="67" t="s">
        <v>102</v>
      </c>
      <c r="D77" s="68">
        <f t="shared" si="16"/>
        <v>167319100</v>
      </c>
      <c r="E77" s="69">
        <f t="shared" si="17"/>
        <v>198431200</v>
      </c>
    </row>
    <row r="78" spans="1:5" x14ac:dyDescent="0.3">
      <c r="A78" s="1">
        <v>6</v>
      </c>
      <c r="B78" s="57">
        <v>11000</v>
      </c>
      <c r="C78" s="67" t="s">
        <v>103</v>
      </c>
      <c r="D78" s="68">
        <f t="shared" si="16"/>
        <v>243100000</v>
      </c>
      <c r="E78" s="69">
        <f t="shared" si="17"/>
        <v>291700000</v>
      </c>
    </row>
    <row r="79" spans="1:5" x14ac:dyDescent="0.3">
      <c r="A79" s="1">
        <v>7</v>
      </c>
      <c r="B79" s="57">
        <v>14429</v>
      </c>
      <c r="C79" s="67" t="s">
        <v>104</v>
      </c>
      <c r="D79" s="68">
        <f t="shared" si="16"/>
        <v>318880900</v>
      </c>
      <c r="E79" s="69">
        <f t="shared" si="17"/>
        <v>384968800</v>
      </c>
    </row>
    <row r="80" spans="1:5" x14ac:dyDescent="0.3">
      <c r="A80" s="1">
        <v>8</v>
      </c>
      <c r="B80" s="57">
        <v>17857</v>
      </c>
      <c r="C80" s="67" t="s">
        <v>105</v>
      </c>
      <c r="D80" s="68">
        <f t="shared" si="16"/>
        <v>394639700</v>
      </c>
      <c r="E80" s="69">
        <f t="shared" si="17"/>
        <v>478210400</v>
      </c>
    </row>
    <row r="81" spans="1:5" x14ac:dyDescent="0.3">
      <c r="A81" s="1">
        <v>9</v>
      </c>
      <c r="B81" s="57">
        <v>21286</v>
      </c>
      <c r="C81" s="67" t="s">
        <v>106</v>
      </c>
      <c r="D81" s="68">
        <f t="shared" si="16"/>
        <v>470420600</v>
      </c>
      <c r="E81" s="69">
        <f t="shared" si="17"/>
        <v>571479200</v>
      </c>
    </row>
    <row r="82" spans="1:5" x14ac:dyDescent="0.3">
      <c r="A82" s="1">
        <v>10</v>
      </c>
      <c r="B82" s="57">
        <v>15714</v>
      </c>
      <c r="C82" s="67" t="s">
        <v>107</v>
      </c>
      <c r="D82" s="68">
        <f t="shared" si="16"/>
        <v>347279400</v>
      </c>
      <c r="E82" s="69">
        <f t="shared" si="17"/>
        <v>419920800</v>
      </c>
    </row>
    <row r="83" spans="1:5" x14ac:dyDescent="0.3">
      <c r="A83" s="1">
        <v>11</v>
      </c>
      <c r="B83" s="57">
        <v>17286</v>
      </c>
      <c r="C83" s="67" t="s">
        <v>108</v>
      </c>
      <c r="D83" s="68">
        <f t="shared" si="16"/>
        <v>382020600</v>
      </c>
      <c r="E83" s="69">
        <f t="shared" si="17"/>
        <v>462679200</v>
      </c>
    </row>
    <row r="84" spans="1:5" x14ac:dyDescent="0.3">
      <c r="A84" s="1">
        <v>12</v>
      </c>
      <c r="B84" s="57">
        <v>1071</v>
      </c>
      <c r="C84" s="67" t="s">
        <v>109</v>
      </c>
      <c r="D84" s="68">
        <f t="shared" si="16"/>
        <v>23669100</v>
      </c>
      <c r="E84" s="69">
        <f t="shared" si="17"/>
        <v>21631200</v>
      </c>
    </row>
    <row r="85" spans="1:5" x14ac:dyDescent="0.3">
      <c r="A85" s="1">
        <v>13</v>
      </c>
      <c r="B85" s="57">
        <v>786</v>
      </c>
      <c r="C85" s="67" t="s">
        <v>110</v>
      </c>
      <c r="D85" s="68">
        <f t="shared" si="16"/>
        <v>17370600</v>
      </c>
      <c r="E85" s="69">
        <f t="shared" si="17"/>
        <v>13879200</v>
      </c>
    </row>
    <row r="86" spans="1:5" x14ac:dyDescent="0.3">
      <c r="A86" s="1">
        <v>14</v>
      </c>
      <c r="B86" s="57">
        <v>800</v>
      </c>
      <c r="C86" s="67" t="s">
        <v>111</v>
      </c>
      <c r="D86" s="68">
        <f t="shared" si="16"/>
        <v>17680000</v>
      </c>
      <c r="E86" s="69">
        <f t="shared" si="17"/>
        <v>14260000</v>
      </c>
    </row>
    <row r="87" spans="1:5" x14ac:dyDescent="0.3">
      <c r="A87" s="1">
        <v>15</v>
      </c>
      <c r="B87" s="57">
        <v>843</v>
      </c>
      <c r="C87" s="67" t="s">
        <v>112</v>
      </c>
      <c r="D87" s="68">
        <f t="shared" si="16"/>
        <v>18630300</v>
      </c>
      <c r="E87" s="69">
        <f t="shared" si="17"/>
        <v>15429600</v>
      </c>
    </row>
    <row r="88" spans="1:5" x14ac:dyDescent="0.3">
      <c r="A88" s="1">
        <v>16</v>
      </c>
      <c r="B88" s="57">
        <v>1043</v>
      </c>
      <c r="C88" s="67" t="s">
        <v>113</v>
      </c>
      <c r="D88" s="68">
        <f t="shared" si="16"/>
        <v>23050300</v>
      </c>
      <c r="E88" s="69">
        <f t="shared" si="17"/>
        <v>20869600</v>
      </c>
    </row>
    <row r="89" spans="1:5" x14ac:dyDescent="0.3">
      <c r="A89" s="1">
        <v>17</v>
      </c>
      <c r="B89" s="57">
        <v>1143</v>
      </c>
      <c r="C89" s="67" t="s">
        <v>114</v>
      </c>
      <c r="D89" s="68">
        <f t="shared" si="16"/>
        <v>25260300</v>
      </c>
      <c r="E89" s="69">
        <f t="shared" si="17"/>
        <v>23589600</v>
      </c>
    </row>
    <row r="90" spans="1:5" x14ac:dyDescent="0.3">
      <c r="A90" s="1">
        <v>18</v>
      </c>
      <c r="B90" s="57">
        <v>1186</v>
      </c>
      <c r="C90" s="67" t="s">
        <v>115</v>
      </c>
      <c r="D90" s="68">
        <f t="shared" si="16"/>
        <v>26210600</v>
      </c>
      <c r="E90" s="69">
        <f t="shared" si="17"/>
        <v>24759200</v>
      </c>
    </row>
    <row r="91" spans="1:5" x14ac:dyDescent="0.3">
      <c r="A91" s="1">
        <v>19</v>
      </c>
      <c r="B91" s="57">
        <v>1286</v>
      </c>
      <c r="C91" s="67" t="s">
        <v>116</v>
      </c>
      <c r="D91" s="68">
        <f t="shared" si="16"/>
        <v>28420600</v>
      </c>
      <c r="E91" s="69">
        <f t="shared" si="17"/>
        <v>27479200</v>
      </c>
    </row>
    <row r="92" spans="1:5" x14ac:dyDescent="0.3">
      <c r="A92" s="1">
        <v>20</v>
      </c>
      <c r="B92" s="57">
        <v>1429</v>
      </c>
      <c r="C92" s="67" t="s">
        <v>117</v>
      </c>
      <c r="D92" s="68">
        <f t="shared" si="16"/>
        <v>31580900</v>
      </c>
      <c r="E92" s="69">
        <f t="shared" si="17"/>
        <v>31368800</v>
      </c>
    </row>
    <row r="93" spans="1:5" x14ac:dyDescent="0.3">
      <c r="A93" s="1">
        <v>21</v>
      </c>
      <c r="B93" s="57">
        <v>1543</v>
      </c>
      <c r="C93" s="67" t="s">
        <v>118</v>
      </c>
      <c r="D93" s="68">
        <f t="shared" si="16"/>
        <v>34100300</v>
      </c>
      <c r="E93" s="69">
        <f t="shared" si="17"/>
        <v>34469600</v>
      </c>
    </row>
    <row r="94" spans="1:5" x14ac:dyDescent="0.3">
      <c r="A94" s="1">
        <v>22</v>
      </c>
      <c r="B94" s="57">
        <v>1571</v>
      </c>
      <c r="C94" s="67" t="s">
        <v>119</v>
      </c>
      <c r="D94" s="68">
        <f t="shared" si="16"/>
        <v>34719100</v>
      </c>
      <c r="E94" s="69">
        <f t="shared" si="17"/>
        <v>35231200</v>
      </c>
    </row>
    <row r="95" spans="1:5" x14ac:dyDescent="0.3">
      <c r="A95" s="1">
        <v>23</v>
      </c>
      <c r="B95" s="57">
        <v>1614</v>
      </c>
      <c r="C95" s="67" t="s">
        <v>120</v>
      </c>
      <c r="D95" s="68">
        <f t="shared" si="16"/>
        <v>35669400</v>
      </c>
      <c r="E95" s="69">
        <f t="shared" si="17"/>
        <v>36400800</v>
      </c>
    </row>
    <row r="96" spans="1:5" x14ac:dyDescent="0.3">
      <c r="A96" s="1">
        <v>24</v>
      </c>
      <c r="B96" s="57">
        <v>1771</v>
      </c>
      <c r="C96" s="67" t="s">
        <v>121</v>
      </c>
      <c r="D96" s="68">
        <f t="shared" si="16"/>
        <v>39139100</v>
      </c>
      <c r="E96" s="69">
        <f t="shared" si="17"/>
        <v>40671200</v>
      </c>
    </row>
    <row r="97" spans="1:5" x14ac:dyDescent="0.3">
      <c r="A97" s="1">
        <v>25</v>
      </c>
      <c r="B97" s="57">
        <v>2443</v>
      </c>
      <c r="C97" s="67" t="s">
        <v>122</v>
      </c>
      <c r="D97" s="68">
        <f t="shared" si="16"/>
        <v>53990300</v>
      </c>
      <c r="E97" s="69">
        <f t="shared" si="17"/>
        <v>58949600</v>
      </c>
    </row>
    <row r="98" spans="1:5" x14ac:dyDescent="0.3">
      <c r="A98" s="1">
        <v>26</v>
      </c>
      <c r="B98" s="57">
        <v>2514</v>
      </c>
      <c r="C98" s="67" t="s">
        <v>123</v>
      </c>
      <c r="D98" s="68">
        <f t="shared" si="16"/>
        <v>55559400</v>
      </c>
      <c r="E98" s="69">
        <f t="shared" si="17"/>
        <v>60880800</v>
      </c>
    </row>
    <row r="99" spans="1:5" x14ac:dyDescent="0.3">
      <c r="A99" s="1">
        <v>27</v>
      </c>
      <c r="B99" s="57">
        <v>3244</v>
      </c>
      <c r="C99" s="67" t="s">
        <v>124</v>
      </c>
      <c r="D99" s="68">
        <f t="shared" si="16"/>
        <v>71692400</v>
      </c>
      <c r="E99" s="69">
        <f t="shared" si="17"/>
        <v>80736800</v>
      </c>
    </row>
    <row r="100" spans="1:5" x14ac:dyDescent="0.3">
      <c r="A100" s="1">
        <v>28</v>
      </c>
      <c r="B100" s="57">
        <v>3286</v>
      </c>
      <c r="C100" s="67" t="s">
        <v>125</v>
      </c>
      <c r="D100" s="68">
        <f t="shared" si="16"/>
        <v>72620600</v>
      </c>
      <c r="E100" s="69">
        <f t="shared" si="17"/>
        <v>81879200</v>
      </c>
    </row>
    <row r="101" spans="1:5" x14ac:dyDescent="0.3">
      <c r="A101" s="1">
        <v>29</v>
      </c>
      <c r="B101" s="57">
        <v>3429</v>
      </c>
      <c r="C101" s="67" t="s">
        <v>126</v>
      </c>
      <c r="D101" s="68">
        <f t="shared" si="16"/>
        <v>75780900</v>
      </c>
      <c r="E101" s="69">
        <f t="shared" si="17"/>
        <v>85768800</v>
      </c>
    </row>
    <row r="102" spans="1:5" x14ac:dyDescent="0.3">
      <c r="A102" s="1">
        <v>30</v>
      </c>
      <c r="B102" s="57">
        <v>3357</v>
      </c>
      <c r="C102" s="67" t="s">
        <v>127</v>
      </c>
      <c r="D102" s="68">
        <f t="shared" si="16"/>
        <v>74189700</v>
      </c>
      <c r="E102" s="69">
        <f t="shared" si="17"/>
        <v>83810400</v>
      </c>
    </row>
    <row r="103" spans="1:5" x14ac:dyDescent="0.3">
      <c r="A103" s="1">
        <v>31</v>
      </c>
      <c r="B103" s="57">
        <v>3714</v>
      </c>
      <c r="C103" s="67" t="s">
        <v>128</v>
      </c>
      <c r="D103" s="68">
        <f t="shared" si="16"/>
        <v>82079400</v>
      </c>
      <c r="E103" s="69">
        <f t="shared" si="17"/>
        <v>93520800</v>
      </c>
    </row>
    <row r="104" spans="1:5" x14ac:dyDescent="0.3">
      <c r="A104" s="1">
        <v>32</v>
      </c>
      <c r="B104" s="57">
        <v>3429</v>
      </c>
      <c r="C104" s="67" t="s">
        <v>129</v>
      </c>
      <c r="D104" s="68">
        <f t="shared" si="16"/>
        <v>75780900</v>
      </c>
      <c r="E104" s="69">
        <f t="shared" si="17"/>
        <v>85768800</v>
      </c>
    </row>
    <row r="105" spans="1:5" x14ac:dyDescent="0.3">
      <c r="A105" s="1">
        <v>33</v>
      </c>
      <c r="B105" s="57">
        <v>3929</v>
      </c>
      <c r="C105" s="67" t="s">
        <v>130</v>
      </c>
      <c r="D105" s="68">
        <f t="shared" si="16"/>
        <v>86830900</v>
      </c>
      <c r="E105" s="69">
        <f t="shared" si="17"/>
        <v>99368800</v>
      </c>
    </row>
    <row r="106" spans="1:5" x14ac:dyDescent="0.3">
      <c r="A106" s="1">
        <v>34</v>
      </c>
      <c r="B106" s="57">
        <v>3786</v>
      </c>
      <c r="C106" s="67" t="s">
        <v>131</v>
      </c>
      <c r="D106" s="68">
        <f t="shared" si="16"/>
        <v>83670600</v>
      </c>
      <c r="E106" s="69">
        <f t="shared" si="17"/>
        <v>95479200</v>
      </c>
    </row>
    <row r="107" spans="1:5" x14ac:dyDescent="0.3">
      <c r="A107" s="1">
        <v>35</v>
      </c>
      <c r="B107" s="57">
        <v>4000</v>
      </c>
      <c r="C107" s="67" t="s">
        <v>132</v>
      </c>
      <c r="D107" s="68">
        <f t="shared" si="16"/>
        <v>88400000</v>
      </c>
      <c r="E107" s="69">
        <f t="shared" si="17"/>
        <v>101300000</v>
      </c>
    </row>
    <row r="108" spans="1:5" x14ac:dyDescent="0.3">
      <c r="A108" s="1">
        <v>36</v>
      </c>
      <c r="B108" s="57">
        <v>4143</v>
      </c>
      <c r="C108" s="67" t="s">
        <v>133</v>
      </c>
      <c r="D108" s="68">
        <f t="shared" si="16"/>
        <v>91560300</v>
      </c>
      <c r="E108" s="69">
        <f t="shared" si="17"/>
        <v>105189600</v>
      </c>
    </row>
    <row r="109" spans="1:5" x14ac:dyDescent="0.3">
      <c r="A109" s="1">
        <v>37</v>
      </c>
      <c r="B109" s="57">
        <v>1814</v>
      </c>
      <c r="C109" s="67" t="s">
        <v>134</v>
      </c>
      <c r="D109" s="68">
        <f t="shared" si="16"/>
        <v>40089400</v>
      </c>
      <c r="E109" s="69">
        <f t="shared" si="17"/>
        <v>41840800</v>
      </c>
    </row>
    <row r="110" spans="1:5" x14ac:dyDescent="0.3">
      <c r="A110" s="1">
        <v>38</v>
      </c>
      <c r="B110" s="57">
        <v>3200</v>
      </c>
      <c r="C110" s="67" t="s">
        <v>135</v>
      </c>
      <c r="D110" s="68">
        <f t="shared" si="16"/>
        <v>70720000</v>
      </c>
      <c r="E110" s="69">
        <f t="shared" si="17"/>
        <v>79540000</v>
      </c>
    </row>
    <row r="111" spans="1:5" x14ac:dyDescent="0.3">
      <c r="A111" s="1">
        <v>39</v>
      </c>
      <c r="B111" s="57">
        <v>2286</v>
      </c>
      <c r="C111" s="67" t="s">
        <v>136</v>
      </c>
      <c r="D111" s="68">
        <f t="shared" si="16"/>
        <v>50520600</v>
      </c>
      <c r="E111" s="69">
        <f t="shared" si="17"/>
        <v>54679200</v>
      </c>
    </row>
    <row r="112" spans="1:5" x14ac:dyDescent="0.3">
      <c r="A112" s="1">
        <v>40</v>
      </c>
      <c r="B112" s="57">
        <v>3371</v>
      </c>
      <c r="C112" s="67" t="s">
        <v>137</v>
      </c>
      <c r="D112" s="68">
        <f t="shared" si="16"/>
        <v>74499100</v>
      </c>
      <c r="E112" s="69">
        <f t="shared" si="17"/>
        <v>84191200</v>
      </c>
    </row>
    <row r="113" spans="1:5" x14ac:dyDescent="0.3">
      <c r="A113" s="1">
        <v>41</v>
      </c>
      <c r="B113" s="57">
        <v>2700</v>
      </c>
      <c r="C113" s="67" t="s">
        <v>138</v>
      </c>
      <c r="D113" s="68">
        <f t="shared" si="16"/>
        <v>59670000</v>
      </c>
      <c r="E113" s="69">
        <f t="shared" si="17"/>
        <v>65940000</v>
      </c>
    </row>
    <row r="114" spans="1:5" x14ac:dyDescent="0.3">
      <c r="A114" s="1">
        <v>42</v>
      </c>
      <c r="B114" s="57">
        <v>3000</v>
      </c>
      <c r="C114" s="67" t="s">
        <v>139</v>
      </c>
      <c r="D114" s="68">
        <f t="shared" si="16"/>
        <v>66300000</v>
      </c>
      <c r="E114" s="69">
        <f t="shared" si="17"/>
        <v>74100000</v>
      </c>
    </row>
    <row r="115" spans="1:5" x14ac:dyDescent="0.3">
      <c r="A115" s="1">
        <v>43</v>
      </c>
      <c r="B115" s="57">
        <v>3543</v>
      </c>
      <c r="C115" s="67" t="s">
        <v>140</v>
      </c>
      <c r="D115" s="68">
        <f t="shared" si="16"/>
        <v>78300300</v>
      </c>
      <c r="E115" s="69">
        <f t="shared" si="17"/>
        <v>88869600</v>
      </c>
    </row>
    <row r="116" spans="1:5" x14ac:dyDescent="0.3">
      <c r="A116" s="1">
        <v>44</v>
      </c>
      <c r="B116" s="57">
        <v>3714</v>
      </c>
      <c r="C116" s="67" t="s">
        <v>141</v>
      </c>
      <c r="D116" s="68">
        <f t="shared" si="16"/>
        <v>82079400</v>
      </c>
      <c r="E116" s="69">
        <f t="shared" si="17"/>
        <v>93520800</v>
      </c>
    </row>
    <row r="117" spans="1:5" x14ac:dyDescent="0.3">
      <c r="A117" s="1">
        <v>45</v>
      </c>
      <c r="B117" s="57">
        <v>5857</v>
      </c>
      <c r="C117" s="67" t="s">
        <v>142</v>
      </c>
      <c r="D117" s="68">
        <f t="shared" si="16"/>
        <v>129439700</v>
      </c>
      <c r="E117" s="69">
        <f t="shared" si="17"/>
        <v>151810400</v>
      </c>
    </row>
    <row r="118" spans="1:5" x14ac:dyDescent="0.3">
      <c r="A118" s="1">
        <v>46</v>
      </c>
      <c r="B118" s="57">
        <v>6114</v>
      </c>
      <c r="C118" s="67" t="s">
        <v>143</v>
      </c>
      <c r="D118" s="68">
        <f t="shared" si="16"/>
        <v>135119400</v>
      </c>
      <c r="E118" s="69">
        <f t="shared" si="17"/>
        <v>158800800</v>
      </c>
    </row>
    <row r="119" spans="1:5" x14ac:dyDescent="0.3">
      <c r="A119" s="1">
        <v>47</v>
      </c>
      <c r="B119" s="57">
        <v>6371</v>
      </c>
      <c r="C119" s="67" t="s">
        <v>144</v>
      </c>
      <c r="D119" s="68">
        <f t="shared" si="16"/>
        <v>140799100</v>
      </c>
      <c r="E119" s="69">
        <f t="shared" si="17"/>
        <v>165791200</v>
      </c>
    </row>
    <row r="120" spans="1:5" x14ac:dyDescent="0.3">
      <c r="A120" s="1">
        <v>48</v>
      </c>
      <c r="B120" s="57">
        <v>3714</v>
      </c>
      <c r="C120" s="67" t="s">
        <v>145</v>
      </c>
      <c r="D120" s="68">
        <f t="shared" si="16"/>
        <v>82079400</v>
      </c>
      <c r="E120" s="69">
        <f t="shared" si="17"/>
        <v>93520800</v>
      </c>
    </row>
    <row r="121" spans="1:5" x14ac:dyDescent="0.3">
      <c r="A121" s="1">
        <v>49</v>
      </c>
      <c r="B121" s="57">
        <v>929</v>
      </c>
      <c r="C121" s="67" t="s">
        <v>146</v>
      </c>
      <c r="D121" s="68">
        <f t="shared" si="16"/>
        <v>20530900</v>
      </c>
      <c r="E121" s="69">
        <f t="shared" si="17"/>
        <v>17768800</v>
      </c>
    </row>
    <row r="122" spans="1:5" x14ac:dyDescent="0.3">
      <c r="A122" s="1">
        <v>50</v>
      </c>
      <c r="B122" s="57">
        <v>943</v>
      </c>
      <c r="C122" s="67" t="s">
        <v>147</v>
      </c>
      <c r="D122" s="68">
        <f t="shared" si="16"/>
        <v>20840300</v>
      </c>
      <c r="E122" s="69">
        <f t="shared" si="17"/>
        <v>18149600</v>
      </c>
    </row>
    <row r="123" spans="1:5" x14ac:dyDescent="0.3">
      <c r="A123" s="1">
        <v>51</v>
      </c>
      <c r="B123" s="57">
        <v>957</v>
      </c>
      <c r="C123" s="67" t="s">
        <v>148</v>
      </c>
      <c r="D123" s="68">
        <f t="shared" si="16"/>
        <v>21149700</v>
      </c>
      <c r="E123" s="69">
        <f t="shared" si="17"/>
        <v>18530400</v>
      </c>
    </row>
    <row r="124" spans="1:5" x14ac:dyDescent="0.3">
      <c r="A124" s="1">
        <v>52</v>
      </c>
      <c r="B124" s="57">
        <v>1157</v>
      </c>
      <c r="C124" s="67" t="s">
        <v>149</v>
      </c>
      <c r="D124" s="68">
        <f t="shared" si="16"/>
        <v>25569700</v>
      </c>
      <c r="E124" s="69">
        <f t="shared" si="17"/>
        <v>23970400</v>
      </c>
    </row>
    <row r="125" spans="1:5" x14ac:dyDescent="0.3">
      <c r="A125" s="1">
        <v>53</v>
      </c>
      <c r="B125" s="57">
        <v>1200</v>
      </c>
      <c r="C125" s="67" t="s">
        <v>150</v>
      </c>
      <c r="D125" s="68">
        <f t="shared" si="16"/>
        <v>26520000</v>
      </c>
      <c r="E125" s="69">
        <f t="shared" si="17"/>
        <v>25140000</v>
      </c>
    </row>
    <row r="126" spans="1:5" x14ac:dyDescent="0.3">
      <c r="A126" s="1">
        <v>54</v>
      </c>
      <c r="B126" s="57">
        <v>1171</v>
      </c>
      <c r="C126" s="67" t="s">
        <v>151</v>
      </c>
      <c r="D126" s="68">
        <f t="shared" si="16"/>
        <v>25879100</v>
      </c>
      <c r="E126" s="69">
        <f t="shared" si="17"/>
        <v>24351200</v>
      </c>
    </row>
    <row r="127" spans="1:5" x14ac:dyDescent="0.3">
      <c r="A127" s="1">
        <v>55</v>
      </c>
      <c r="B127" s="57">
        <v>1214</v>
      </c>
      <c r="C127" s="67" t="s">
        <v>152</v>
      </c>
      <c r="D127" s="68">
        <f t="shared" si="16"/>
        <v>26829400</v>
      </c>
      <c r="E127" s="69">
        <f t="shared" si="17"/>
        <v>25520800</v>
      </c>
    </row>
    <row r="128" spans="1:5" x14ac:dyDescent="0.3">
      <c r="A128" s="1">
        <v>56</v>
      </c>
      <c r="B128" s="57">
        <v>1186</v>
      </c>
      <c r="C128" s="67" t="s">
        <v>153</v>
      </c>
      <c r="D128" s="68">
        <f t="shared" si="16"/>
        <v>26210600</v>
      </c>
      <c r="E128" s="69">
        <f t="shared" si="17"/>
        <v>24759200</v>
      </c>
    </row>
    <row r="129" spans="1:5" x14ac:dyDescent="0.3">
      <c r="A129" s="1">
        <v>57</v>
      </c>
      <c r="B129" s="57">
        <v>1229</v>
      </c>
      <c r="C129" s="67" t="s">
        <v>154</v>
      </c>
      <c r="D129" s="68">
        <f t="shared" si="16"/>
        <v>27160900</v>
      </c>
      <c r="E129" s="69">
        <f t="shared" si="17"/>
        <v>25928800</v>
      </c>
    </row>
    <row r="130" spans="1:5" x14ac:dyDescent="0.3">
      <c r="A130" s="1">
        <v>58</v>
      </c>
      <c r="B130" s="57">
        <v>1200</v>
      </c>
      <c r="C130" s="67" t="s">
        <v>155</v>
      </c>
      <c r="D130" s="68">
        <f t="shared" si="16"/>
        <v>26520000</v>
      </c>
      <c r="E130" s="69">
        <f t="shared" si="17"/>
        <v>25140000</v>
      </c>
    </row>
    <row r="131" spans="1:5" x14ac:dyDescent="0.3">
      <c r="A131" s="1">
        <v>59</v>
      </c>
      <c r="B131" s="57">
        <v>1257</v>
      </c>
      <c r="C131" s="67" t="s">
        <v>156</v>
      </c>
      <c r="D131" s="68">
        <f t="shared" si="16"/>
        <v>27779700</v>
      </c>
      <c r="E131" s="69">
        <f t="shared" si="17"/>
        <v>26690400</v>
      </c>
    </row>
    <row r="132" spans="1:5" x14ac:dyDescent="0.3">
      <c r="A132" s="1">
        <v>60</v>
      </c>
      <c r="B132" s="57">
        <v>1214</v>
      </c>
      <c r="C132" s="67" t="s">
        <v>157</v>
      </c>
      <c r="D132" s="68">
        <f t="shared" si="16"/>
        <v>26829400</v>
      </c>
      <c r="E132" s="69">
        <f t="shared" si="17"/>
        <v>25520800</v>
      </c>
    </row>
    <row r="133" spans="1:5" x14ac:dyDescent="0.3">
      <c r="A133" s="1">
        <v>61</v>
      </c>
      <c r="B133" s="57">
        <v>1271</v>
      </c>
      <c r="C133" s="67" t="s">
        <v>158</v>
      </c>
      <c r="D133" s="68">
        <f t="shared" si="16"/>
        <v>28089100</v>
      </c>
      <c r="E133" s="69">
        <f t="shared" si="17"/>
        <v>27071200</v>
      </c>
    </row>
    <row r="134" spans="1:5" x14ac:dyDescent="0.3">
      <c r="A134" s="1">
        <v>62</v>
      </c>
      <c r="B134" s="57">
        <v>1229</v>
      </c>
      <c r="C134" s="67" t="s">
        <v>159</v>
      </c>
      <c r="D134" s="68">
        <f t="shared" si="16"/>
        <v>27160900</v>
      </c>
      <c r="E134" s="69">
        <f t="shared" si="17"/>
        <v>25928800</v>
      </c>
    </row>
    <row r="135" spans="1:5" x14ac:dyDescent="0.3">
      <c r="A135" s="1">
        <v>63</v>
      </c>
      <c r="B135" s="57">
        <v>1286</v>
      </c>
      <c r="C135" s="67" t="s">
        <v>160</v>
      </c>
      <c r="D135" s="68">
        <f t="shared" si="16"/>
        <v>28420600</v>
      </c>
      <c r="E135" s="69">
        <f t="shared" si="17"/>
        <v>27479200</v>
      </c>
    </row>
    <row r="136" spans="1:5" x14ac:dyDescent="0.3">
      <c r="A136" s="1">
        <v>64</v>
      </c>
      <c r="B136" s="57">
        <v>566</v>
      </c>
      <c r="C136" s="67" t="s">
        <v>161</v>
      </c>
      <c r="D136" s="68">
        <f t="shared" si="16"/>
        <v>12508600</v>
      </c>
      <c r="E136" s="69">
        <f t="shared" si="17"/>
        <v>7895200</v>
      </c>
    </row>
    <row r="137" spans="1:5" x14ac:dyDescent="0.3">
      <c r="A137" s="1">
        <v>65</v>
      </c>
      <c r="B137" s="57">
        <v>671</v>
      </c>
      <c r="C137" s="67" t="s">
        <v>162</v>
      </c>
      <c r="D137" s="68">
        <f t="shared" ref="D137:D173" si="18">B137*$D$63*$C$66</f>
        <v>14829100</v>
      </c>
      <c r="E137" s="69">
        <f t="shared" ref="E137:E173" si="19">(B137*$D$63*$D$66)-7500000</f>
        <v>10751200</v>
      </c>
    </row>
    <row r="138" spans="1:5" x14ac:dyDescent="0.3">
      <c r="A138" s="1">
        <v>66</v>
      </c>
      <c r="B138" s="57">
        <v>671</v>
      </c>
      <c r="C138" s="67" t="s">
        <v>163</v>
      </c>
      <c r="D138" s="68">
        <f t="shared" si="18"/>
        <v>14829100</v>
      </c>
      <c r="E138" s="69">
        <f t="shared" si="19"/>
        <v>10751200</v>
      </c>
    </row>
    <row r="139" spans="1:5" x14ac:dyDescent="0.3">
      <c r="A139" s="1">
        <v>67</v>
      </c>
      <c r="B139" s="57">
        <v>814</v>
      </c>
      <c r="C139" s="67" t="s">
        <v>164</v>
      </c>
      <c r="D139" s="68">
        <f t="shared" si="18"/>
        <v>17989400</v>
      </c>
      <c r="E139" s="69">
        <f t="shared" si="19"/>
        <v>14640800</v>
      </c>
    </row>
    <row r="140" spans="1:5" x14ac:dyDescent="0.3">
      <c r="A140" s="1">
        <v>68</v>
      </c>
      <c r="B140" s="57">
        <v>1029</v>
      </c>
      <c r="C140" s="67" t="s">
        <v>165</v>
      </c>
      <c r="D140" s="68">
        <f t="shared" si="18"/>
        <v>22740900</v>
      </c>
      <c r="E140" s="69">
        <f t="shared" si="19"/>
        <v>20488800</v>
      </c>
    </row>
    <row r="141" spans="1:5" x14ac:dyDescent="0.3">
      <c r="A141" s="1">
        <v>69</v>
      </c>
      <c r="B141" s="57">
        <v>1200</v>
      </c>
      <c r="C141" s="67" t="s">
        <v>166</v>
      </c>
      <c r="D141" s="68">
        <f t="shared" si="18"/>
        <v>26520000</v>
      </c>
      <c r="E141" s="69">
        <f t="shared" si="19"/>
        <v>25140000</v>
      </c>
    </row>
  </sheetData>
  <mergeCells count="6">
    <mergeCell ref="B1:E1"/>
    <mergeCell ref="B29:E29"/>
    <mergeCell ref="B53:E53"/>
    <mergeCell ref="C61:D61"/>
    <mergeCell ref="D66:D67"/>
    <mergeCell ref="B71:E7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 TRAKTOR &amp; 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syofyan</dc:creator>
  <cp:lastModifiedBy>ali syofyan</cp:lastModifiedBy>
  <dcterms:created xsi:type="dcterms:W3CDTF">2026-04-28T00:00:39Z</dcterms:created>
  <dcterms:modified xsi:type="dcterms:W3CDTF">2026-04-28T00:01:07Z</dcterms:modified>
</cp:coreProperties>
</file>